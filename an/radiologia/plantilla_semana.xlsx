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mc:AlternateContent xmlns:mc="http://schemas.openxmlformats.org/markup-compatibility/2006">
    <mc:Choice Requires="x15">
      <x15ac:absPath xmlns:x15ac="http://schemas.microsoft.com/office/spreadsheetml/2010/11/ac" url="/Users/jss/Desktop/ASIGSEMRADIO/"/>
    </mc:Choice>
  </mc:AlternateContent>
  <xr:revisionPtr revIDLastSave="0" documentId="13_ncr:1_{F099E850-E43B-8E43-A5F8-13E411C13F42}" xr6:coauthVersionLast="47" xr6:coauthVersionMax="47" xr10:uidLastSave="{00000000-0000-0000-0000-000000000000}"/>
  <bookViews>
    <workbookView xWindow="0" yWindow="660" windowWidth="29400" windowHeight="17380" activeTab="6" xr2:uid="{00000000-000D-0000-FFFF-FFFF00000000}"/>
  </bookViews>
  <sheets>
    <sheet name="VACACIONES" sheetId="16" r:id="rId1"/>
    <sheet name="Ecografía - ECO" sheetId="9" r:id="rId2"/>
    <sheet name="Lectura - Neuro" sheetId="10" r:id="rId3"/>
    <sheet name="Lectura - MSK" sheetId="11" r:id="rId4"/>
    <sheet name="Lectura - Abdomen" sheetId="12" r:id="rId5"/>
    <sheet name="Lectura - Mamografia-Densitomet" sheetId="20" r:id="rId6"/>
    <sheet name="Lectura - CARDIO-TORAX AMBULATO" sheetId="15" r:id="rId7"/>
    <sheet name="Asignación de estudios" sheetId="19" state="hidden" r:id="rId8"/>
  </sheets>
  <definedNames>
    <definedName name="_xlnm._FilterDatabase" localSheetId="1" hidden="1">'Ecografía - ECO'!$A$1:$A$35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9" l="1"/>
  <c r="C1" i="9"/>
  <c r="C11" i="11"/>
  <c r="G5" i="20"/>
  <c r="G5" i="15"/>
  <c r="G11" i="15"/>
  <c r="G17" i="15"/>
  <c r="G23" i="15"/>
  <c r="G29" i="15"/>
  <c r="G35" i="15"/>
  <c r="G38" i="15"/>
  <c r="G2" i="9"/>
  <c r="H2" i="9"/>
  <c r="I2" i="9"/>
  <c r="J2" i="9"/>
  <c r="J1" i="9"/>
  <c r="G1" i="9"/>
  <c r="H1" i="9"/>
  <c r="I1" i="9"/>
  <c r="G9" i="20"/>
  <c r="G13" i="20"/>
  <c r="G17" i="20"/>
  <c r="G21" i="20"/>
  <c r="G25" i="20"/>
  <c r="C9" i="20"/>
  <c r="C13" i="20"/>
  <c r="C17" i="20"/>
  <c r="C21" i="20"/>
  <c r="C25" i="20"/>
  <c r="C29" i="20"/>
  <c r="C13" i="10"/>
  <c r="C21" i="10"/>
  <c r="C29" i="10"/>
  <c r="C37" i="10"/>
  <c r="C45" i="10"/>
  <c r="C50" i="10"/>
  <c r="C11" i="15"/>
  <c r="C17" i="15"/>
  <c r="C23" i="15"/>
  <c r="C29" i="15"/>
  <c r="C35" i="15"/>
  <c r="C38" i="15"/>
  <c r="C11" i="12"/>
  <c r="C17" i="12"/>
  <c r="C23" i="12"/>
  <c r="C29" i="12"/>
  <c r="C35" i="12"/>
  <c r="C41" i="12"/>
  <c r="C17" i="11"/>
  <c r="C23" i="11"/>
  <c r="C29" i="11"/>
  <c r="C35" i="11"/>
  <c r="C40" i="11"/>
  <c r="K2" i="9"/>
  <c r="L2" i="9"/>
  <c r="L1" i="9"/>
  <c r="K1" i="9"/>
</calcChain>
</file>

<file path=xl/sharedStrings.xml><?xml version="1.0" encoding="utf-8"?>
<sst xmlns="http://schemas.openxmlformats.org/spreadsheetml/2006/main" count="572" uniqueCount="134">
  <si>
    <t>VACACIONES Y LICENCIAS</t>
  </si>
  <si>
    <t>TIPO</t>
  </si>
  <si>
    <t>TIEMPO</t>
  </si>
  <si>
    <t>Muñoz Burbano, Sandra Patricia</t>
  </si>
  <si>
    <t>Vacaciones</t>
  </si>
  <si>
    <t>29 de septiembre al 17 de octubre</t>
  </si>
  <si>
    <t>Delgado Fernandez, Edgar Alejandro</t>
  </si>
  <si>
    <t>Posada Rivera, Gabriel</t>
  </si>
  <si>
    <t>Meneses, Carlos Armando</t>
  </si>
  <si>
    <t>Muñoz Insignares, Alejandro</t>
  </si>
  <si>
    <t>Ramirez, Nestor Julián</t>
  </si>
  <si>
    <t>ECO
Urgencias</t>
  </si>
  <si>
    <t>ECOGRAFO 1
(Urgencias)</t>
  </si>
  <si>
    <t>6:00 am - 2:00 pm</t>
  </si>
  <si>
    <t>Ardila, Wilkinson Yabir</t>
  </si>
  <si>
    <t>Hernandez, Julian Steven</t>
  </si>
  <si>
    <t>Bonilla, Ricardo Antonio</t>
  </si>
  <si>
    <t>Contreras, Luis Alvaro</t>
  </si>
  <si>
    <t>Caicedo, Alvaro Jose</t>
  </si>
  <si>
    <t>Santacruz, Sebastián</t>
  </si>
  <si>
    <t>Muñoz, Sandra Patricia</t>
  </si>
  <si>
    <t>2:00 pm - 10:00 pm</t>
  </si>
  <si>
    <t>Bolaños, Carlos Eduardo</t>
  </si>
  <si>
    <t>Laverde, Maria Fernanda</t>
  </si>
  <si>
    <t>Gallego Díaz, Estefanía</t>
  </si>
  <si>
    <t>10:00 pm - 6:00 am</t>
  </si>
  <si>
    <t>Forero…</t>
  </si>
  <si>
    <t>Arias, Paula Andrea</t>
  </si>
  <si>
    <t>ECO Sede Principal</t>
  </si>
  <si>
    <t>ECOGRAFO 2
(Mama)</t>
  </si>
  <si>
    <t>7:00 am - 1:00 pm</t>
  </si>
  <si>
    <t>Romo, Diego Fernando</t>
  </si>
  <si>
    <t>Salom Piza, Gabriel</t>
  </si>
  <si>
    <t>Rojas, Lina Katherine</t>
  </si>
  <si>
    <t>1:00 pm - 7:00 pm</t>
  </si>
  <si>
    <t>ECOGRAFO 3
(Abdomen)</t>
  </si>
  <si>
    <t>Herrera, Andres Felipe</t>
  </si>
  <si>
    <t>Delgado, Edgar Alejandro</t>
  </si>
  <si>
    <t>Amaya, Santiago Eduardo</t>
  </si>
  <si>
    <t>Gonzalez, Carlos Alberto</t>
  </si>
  <si>
    <t>ECOGRAFO 4
(Msk)</t>
  </si>
  <si>
    <t>Torres, Angela Patricia</t>
  </si>
  <si>
    <t>ECOGRAFO 5
(Procedimiento)</t>
  </si>
  <si>
    <t>Silva, Wilmar Mauricio</t>
  </si>
  <si>
    <t>Disponibilidad de Procedimientos</t>
  </si>
  <si>
    <t xml:space="preserve">Escobar, William </t>
  </si>
  <si>
    <t>Benitez…</t>
  </si>
  <si>
    <t>ECOGRAFO 1
(Mixto)</t>
  </si>
  <si>
    <t>Vallejo, Jose Fernando</t>
  </si>
  <si>
    <t>Moreno, Carlos Hugo</t>
  </si>
  <si>
    <t>ECOGRAFO 6
(Mixto)</t>
  </si>
  <si>
    <t>ECO Sedes Ciudad Jardin &amp; Pacific Mall</t>
  </si>
  <si>
    <t>ECOGRAFO Pacific Mall (Mixto)</t>
  </si>
  <si>
    <t>1:00 pm - 5:00 pm</t>
  </si>
  <si>
    <t>Sendoya, Juan Manuel</t>
  </si>
  <si>
    <t>Mora, Juan Fernando</t>
  </si>
  <si>
    <t xml:space="preserve">ECOGRAFO Ciudad Jardin 1 (Mixto) </t>
  </si>
  <si>
    <t>7:00 am - 11:00 am</t>
  </si>
  <si>
    <t>ECOGRAFO Ciudad Jardin 2 (Mixto)</t>
  </si>
  <si>
    <t>CONTINGENCIA 1 turno noche urgencias</t>
  </si>
  <si>
    <t>Bustamante, Luis Alfonso</t>
  </si>
  <si>
    <t>CONTINGENCIA 2 turno noche urgencias</t>
  </si>
  <si>
    <t>Ortiz, Andres</t>
  </si>
  <si>
    <t>Lectura - Neuro</t>
  </si>
  <si>
    <t>12:00 am - 7:00 am</t>
  </si>
  <si>
    <t>Disponibilidad</t>
  </si>
  <si>
    <t>1:00 pm - 11:59 pm</t>
  </si>
  <si>
    <t>Remoto</t>
  </si>
  <si>
    <t>10:00 pm - 11:59 pm</t>
  </si>
  <si>
    <t>7:00 pm - 11:59 pm</t>
  </si>
  <si>
    <t>Torres Muñoz, Angela Patricia</t>
  </si>
  <si>
    <t>Lectura - MSK</t>
  </si>
  <si>
    <t>12:00 am - 11:59 pm (24h)</t>
  </si>
  <si>
    <t>1:00 pm - 9:00 pm</t>
  </si>
  <si>
    <t>9:00 pm - 11:59 pm</t>
  </si>
  <si>
    <t>12:00 am - 1:00 pm</t>
  </si>
  <si>
    <t>Lectura - Abdomen</t>
  </si>
  <si>
    <t>Arias Cadena, Paula Andrea</t>
  </si>
  <si>
    <t>Rojas Pedraza, Lina Katherine</t>
  </si>
  <si>
    <t>Romo Sotelo, Diego Fernando</t>
  </si>
  <si>
    <t>Lectura - Mamografia</t>
  </si>
  <si>
    <t>Lectura - Densitometria</t>
  </si>
  <si>
    <t>Disponibilidad Resonancia Mama</t>
  </si>
  <si>
    <t>7:00 am - 7:00 pm</t>
  </si>
  <si>
    <t>Las mamografías correspondientes al viernes 16 y sábado 17 de octubre serán informadas por el profesional que se encuentra programado para la jornada del lunes 19 de octubre, durante la mañana. Es decir para Dra. Arias Cadena, Paula Andrea</t>
  </si>
  <si>
    <t>Herrera Jimenez, Andres Felipe</t>
  </si>
  <si>
    <t>Vallejo Diaz, Jose Fernando</t>
  </si>
  <si>
    <t>Lectura - Torax</t>
  </si>
  <si>
    <t>Lectura - Cardio</t>
  </si>
  <si>
    <t>Disponibilidad Torax</t>
  </si>
  <si>
    <t>CORAZON</t>
  </si>
  <si>
    <t>Disponibilidad Corazon</t>
  </si>
  <si>
    <t xml:space="preserve">NEURO Estudios Asignados </t>
  </si>
  <si>
    <t>ASIGNADOS CJ</t>
  </si>
  <si>
    <t xml:space="preserve">PENDIENTES </t>
  </si>
  <si>
    <t># RNM</t>
  </si>
  <si>
    <t># TAC</t>
  </si>
  <si>
    <t>Dr. William Escobar</t>
  </si>
  <si>
    <t>5/5</t>
  </si>
  <si>
    <t>11/11</t>
  </si>
  <si>
    <t>Dr. Jeison Vallejo</t>
  </si>
  <si>
    <t>16/16</t>
  </si>
  <si>
    <t>4</t>
  </si>
  <si>
    <t>Dr. Daniel Varon</t>
  </si>
  <si>
    <t>4/4</t>
  </si>
  <si>
    <t>2/9</t>
  </si>
  <si>
    <t>6 TAC</t>
  </si>
  <si>
    <t>Dr. Alejandro Muñoz Insignares</t>
  </si>
  <si>
    <t>10/18</t>
  </si>
  <si>
    <t xml:space="preserve">MSK Estudios Asignados </t>
  </si>
  <si>
    <t>17 RESON MSK</t>
  </si>
  <si>
    <t>Dra. Stefania Gallego</t>
  </si>
  <si>
    <t>3/15</t>
  </si>
  <si>
    <t>3 TAC</t>
  </si>
  <si>
    <t>Dra. Angela Torres</t>
  </si>
  <si>
    <t>6/11</t>
  </si>
  <si>
    <t>18</t>
  </si>
  <si>
    <t xml:space="preserve">ABDOMEN Estudios Asignados </t>
  </si>
  <si>
    <t>Dra Sandra Muñoz</t>
  </si>
  <si>
    <t>6</t>
  </si>
  <si>
    <t>8/15</t>
  </si>
  <si>
    <t>1 TAC</t>
  </si>
  <si>
    <t>Dr. Carlos Gonzalez</t>
  </si>
  <si>
    <t>1/17</t>
  </si>
  <si>
    <t>7</t>
  </si>
  <si>
    <t xml:space="preserve">TORAX Y CORAZÓN Estudios Asignados </t>
  </si>
  <si>
    <t xml:space="preserve">Torax   </t>
  </si>
  <si>
    <t>Dr. Jose Vallejo</t>
  </si>
  <si>
    <t>0/11</t>
  </si>
  <si>
    <t>0/15</t>
  </si>
  <si>
    <t>Corazon</t>
  </si>
  <si>
    <t>Dr. Andres Felipe Herrera</t>
  </si>
  <si>
    <t>0/5</t>
  </si>
  <si>
    <t>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</si>
</sst>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240A]dd\ &quot;de&quot;\ mmmm\ &quot;de&quot;\ yyyy"/>
    <numFmt numFmtId="166" formatCode="dddd"/>
  </numFmts>
  <fonts count="43" x14ac:knownFonts="1">
    <font>
      <sz val="10"/>
      <name val="Arial"/>
      <family val="2"/>
    </font>
    <font>
      <sz val="11"/>
      <color indexed="8"/>
      <name val="Calibri"/>
      <family val="2"/>
    </font>
    <font>
      <sz val="10"/>
      <color theme="1"/>
      <name val="Arial"/>
      <family val="2"/>
    </font>
    <font>
      <sz val="10"/>
      <color rgb="FF000000"/>
      <name val="Arial"/>
      <family val="2"/>
    </font>
    <font>
      <b/>
      <sz val="10"/>
      <name val="Arial"/>
      <family val="2"/>
    </font>
    <font>
      <sz val="12"/>
      <name val="Arial"/>
      <family val="2"/>
    </font>
    <font>
      <b/>
      <sz val="12"/>
      <name val="Arial"/>
      <family val="2"/>
    </font>
    <font>
      <b/>
      <sz val="14"/>
      <name val="Arial"/>
      <family val="2"/>
    </font>
    <font>
      <sz val="11"/>
      <color rgb="FF000000"/>
      <name val="Aptos Narrow"/>
      <family val="2"/>
    </font>
    <font>
      <sz val="10"/>
      <color theme="0"/>
      <name val="Aptos Narrow"/>
      <family val="2"/>
    </font>
    <font>
      <sz val="10"/>
      <name val="Aptos Narrow"/>
      <family val="2"/>
    </font>
    <font>
      <sz val="10"/>
      <color rgb="FFFF0000"/>
      <name val="Aptos Narrow"/>
      <family val="2"/>
    </font>
    <font>
      <b/>
      <sz val="24"/>
      <color rgb="FF000000"/>
      <name val="Aptos Narrow"/>
      <family val="2"/>
    </font>
    <font>
      <sz val="10"/>
      <color rgb="FF000000"/>
      <name val="Aptos Narrow"/>
      <family val="2"/>
    </font>
    <font>
      <sz val="10"/>
      <color theme="1"/>
      <name val="Aptos Narrow"/>
      <family val="2"/>
    </font>
    <font>
      <b/>
      <sz val="9"/>
      <color rgb="FFFF0000"/>
      <name val="Aptos Narrow"/>
      <family val="2"/>
    </font>
    <font>
      <b/>
      <sz val="10"/>
      <color rgb="FFFF0000"/>
      <name val="Aptos Narrow"/>
      <family val="2"/>
    </font>
    <font>
      <sz val="11"/>
      <color theme="1"/>
      <name val="Aptos Narrow"/>
      <family val="2"/>
    </font>
    <font>
      <sz val="11"/>
      <color rgb="FFFF0000"/>
      <name val="Aptos Narrow"/>
      <family val="2"/>
    </font>
    <font>
      <sz val="11"/>
      <name val="Aptos Narrow"/>
      <family val="2"/>
    </font>
    <font>
      <b/>
      <sz val="11"/>
      <color theme="1"/>
      <name val="Aptos Narrow"/>
      <family val="2"/>
    </font>
    <font>
      <b/>
      <sz val="10"/>
      <color theme="1"/>
      <name val="Aptos Narrow"/>
      <family val="2"/>
    </font>
    <font>
      <b/>
      <sz val="24"/>
      <name val="Aptos Narrow"/>
      <family val="2"/>
    </font>
    <font>
      <sz val="24"/>
      <name val="Aptos Narrow"/>
      <family val="2"/>
    </font>
    <font>
      <b/>
      <sz val="24"/>
      <color theme="1"/>
      <name val="Aptos Narrow"/>
      <family val="2"/>
    </font>
    <font>
      <b/>
      <sz val="13.5"/>
      <name val="Aptos Narrow"/>
      <family val="2"/>
    </font>
    <font>
      <b/>
      <sz val="11"/>
      <color rgb="FFFF0000"/>
      <name val="Aptos Narrow"/>
      <family val="2"/>
    </font>
    <font>
      <b/>
      <sz val="12"/>
      <name val="Aptos Narrow"/>
      <family val="2"/>
    </font>
    <font>
      <b/>
      <sz val="16"/>
      <name val="Aptos Narrow"/>
      <family val="2"/>
    </font>
    <font>
      <b/>
      <sz val="14"/>
      <name val="Aptos Narrow"/>
      <family val="2"/>
    </font>
    <font>
      <b/>
      <sz val="11"/>
      <name val="Aptos Narrow"/>
      <family val="2"/>
    </font>
    <font>
      <b/>
      <sz val="11"/>
      <color rgb="FF000000"/>
      <name val="Aptos Narrow"/>
      <family val="2"/>
    </font>
    <font>
      <sz val="8"/>
      <name val="Arial"/>
      <family val="2"/>
    </font>
    <font>
      <b/>
      <sz val="9"/>
      <name val="Aptos Narrow"/>
      <family val="2"/>
    </font>
    <font>
      <sz val="9"/>
      <name val="Aptos Narrow"/>
      <family val="2"/>
    </font>
    <font>
      <b/>
      <sz val="9"/>
      <color theme="4"/>
      <name val="Aptos Narrow"/>
      <family val="2"/>
    </font>
    <font>
      <b/>
      <sz val="9"/>
      <color theme="8"/>
      <name val="Aptos Narrow"/>
      <family val="2"/>
    </font>
    <font>
      <b/>
      <sz val="9"/>
      <color rgb="FF00B050"/>
      <name val="Aptos Narrow"/>
      <family val="2"/>
    </font>
    <font>
      <sz val="16"/>
      <name val="Aptos Narrow"/>
      <family val="2"/>
    </font>
    <font>
      <sz val="16"/>
      <color theme="0"/>
      <name val="Aptos Narrow"/>
      <family val="2"/>
    </font>
    <font>
      <b/>
      <sz val="9"/>
      <color theme="0"/>
      <name val="Aptos Narrow"/>
      <family val="2"/>
    </font>
    <font>
      <sz val="11"/>
      <color theme="0"/>
      <name val="Aptos Narrow"/>
      <family val="2"/>
    </font>
    <font>
      <b/>
      <sz val="11"/>
      <name val="Aptos Narrow"/>
    </font>
  </fonts>
  <fills count="19">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F2CC"/>
        <bgColor indexed="64"/>
      </patternFill>
    </fill>
    <fill>
      <patternFill patternType="solid">
        <fgColor theme="0"/>
        <bgColor indexed="64"/>
      </patternFill>
    </fill>
    <fill>
      <patternFill patternType="solid">
        <fgColor rgb="FFE49EDD"/>
        <bgColor rgb="FF000000"/>
      </patternFill>
    </fill>
    <fill>
      <patternFill patternType="solid">
        <fgColor rgb="FFC1F0C8"/>
        <bgColor rgb="FF000000"/>
      </patternFill>
    </fill>
    <fill>
      <patternFill patternType="solid">
        <fgColor theme="5" tint="0.59999389629810485"/>
        <bgColor indexed="64"/>
      </patternFill>
    </fill>
    <fill>
      <patternFill patternType="solid">
        <fgColor theme="0" tint="-0.249977111117893"/>
        <bgColor indexed="64"/>
      </patternFill>
    </fill>
    <fill>
      <patternFill patternType="solid">
        <fgColor rgb="FFF2BBCC"/>
        <bgColor indexed="64"/>
      </patternFill>
    </fill>
    <fill>
      <patternFill patternType="solid">
        <fgColor rgb="FF00B050"/>
        <bgColor indexed="64"/>
      </patternFill>
    </fill>
    <fill>
      <patternFill patternType="solid">
        <fgColor rgb="FFE49EDD"/>
        <bgColor indexed="64"/>
      </patternFill>
    </fill>
    <fill>
      <patternFill patternType="solid">
        <fgColor rgb="FF000000"/>
        <bgColor indexed="64"/>
      </patternFill>
    </fill>
    <fill>
      <patternFill patternType="solid">
        <fgColor rgb="FFBAA3FF"/>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1"/>
        <bgColor indexed="64"/>
      </patternFill>
    </fill>
  </fills>
  <borders count="3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style="medium">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top/>
      <bottom/>
      <diagonal/>
    </border>
    <border>
      <left style="thin">
        <color indexed="64"/>
      </left>
      <right style="thin">
        <color indexed="64"/>
      </right>
      <top style="thin">
        <color rgb="FF000000"/>
      </top>
      <bottom style="medium">
        <color rgb="FF000000"/>
      </bottom>
      <diagonal/>
    </border>
    <border>
      <left style="thin">
        <color indexed="64"/>
      </left>
      <right style="thin">
        <color indexed="64"/>
      </right>
      <top style="medium">
        <color indexed="64"/>
      </top>
      <bottom/>
      <diagonal/>
    </border>
    <border>
      <left style="thin">
        <color indexed="64"/>
      </left>
      <right/>
      <top/>
      <bottom style="thin">
        <color indexed="64"/>
      </bottom>
      <diagonal/>
    </border>
  </borders>
  <cellStyleXfs count="3">
    <xf numFmtId="0" fontId="0" fillId="0" borderId="0"/>
    <xf numFmtId="0" fontId="1" fillId="0" borderId="0"/>
    <xf numFmtId="0" fontId="1" fillId="0" borderId="0"/>
  </cellStyleXfs>
  <cellXfs count="167">
    <xf numFmtId="0" fontId="0" fillId="0" borderId="0" xfId="0"/>
    <xf numFmtId="0" fontId="2" fillId="0" borderId="3" xfId="0" applyFont="1" applyBorder="1"/>
    <xf numFmtId="0" fontId="2" fillId="0" borderId="1" xfId="0" applyFont="1" applyBorder="1"/>
    <xf numFmtId="0" fontId="3" fillId="0" borderId="3" xfId="0" applyFont="1" applyBorder="1"/>
    <xf numFmtId="0" fontId="2" fillId="3" borderId="3" xfId="0" applyFont="1" applyFill="1" applyBorder="1"/>
    <xf numFmtId="164" fontId="4" fillId="4" borderId="7" xfId="0" applyNumberFormat="1" applyFont="1" applyFill="1" applyBorder="1" applyAlignment="1">
      <alignment horizontal="center" vertical="center"/>
    </xf>
    <xf numFmtId="164" fontId="4" fillId="4" borderId="9" xfId="0" applyNumberFormat="1" applyFont="1" applyFill="1" applyBorder="1" applyAlignment="1">
      <alignment horizontal="center" vertical="center"/>
    </xf>
    <xf numFmtId="164" fontId="4" fillId="4" borderId="8" xfId="0" applyNumberFormat="1" applyFont="1" applyFill="1" applyBorder="1" applyAlignment="1">
      <alignment horizontal="center" vertical="center"/>
    </xf>
    <xf numFmtId="49" fontId="5" fillId="0" borderId="5" xfId="0" applyNumberFormat="1" applyFont="1" applyBorder="1" applyAlignment="1">
      <alignment horizontal="center" vertical="center"/>
    </xf>
    <xf numFmtId="0" fontId="9" fillId="0" borderId="0" xfId="0" applyFont="1"/>
    <xf numFmtId="0" fontId="10" fillId="0" borderId="0" xfId="0" applyFont="1"/>
    <xf numFmtId="0" fontId="11" fillId="0" borderId="0" xfId="0" applyFont="1"/>
    <xf numFmtId="0" fontId="13" fillId="0" borderId="0" xfId="0" applyFont="1"/>
    <xf numFmtId="0" fontId="14" fillId="0" borderId="0" xfId="0" applyFont="1"/>
    <xf numFmtId="0" fontId="9" fillId="5" borderId="0" xfId="0" applyFont="1" applyFill="1"/>
    <xf numFmtId="0" fontId="16" fillId="0" borderId="0" xfId="0" applyFont="1"/>
    <xf numFmtId="0" fontId="17" fillId="0" borderId="3" xfId="0" applyFont="1" applyBorder="1"/>
    <xf numFmtId="0" fontId="17" fillId="0" borderId="5" xfId="0" applyFont="1" applyBorder="1"/>
    <xf numFmtId="0" fontId="17" fillId="0" borderId="0" xfId="0" applyFont="1"/>
    <xf numFmtId="0" fontId="18" fillId="0" borderId="0" xfId="0" applyFont="1"/>
    <xf numFmtId="0" fontId="17" fillId="0" borderId="1" xfId="0" applyFont="1" applyBorder="1"/>
    <xf numFmtId="0" fontId="19" fillId="0" borderId="3" xfId="0" applyFont="1" applyBorder="1"/>
    <xf numFmtId="0" fontId="19" fillId="0" borderId="0" xfId="0" applyFont="1"/>
    <xf numFmtId="0" fontId="21" fillId="0" borderId="0" xfId="0" applyFont="1"/>
    <xf numFmtId="0" fontId="17" fillId="2" borderId="3" xfId="0" applyFont="1" applyFill="1" applyBorder="1"/>
    <xf numFmtId="0" fontId="19" fillId="0" borderId="2" xfId="0" applyFont="1" applyBorder="1"/>
    <xf numFmtId="0" fontId="4" fillId="3" borderId="0" xfId="0" applyFont="1" applyFill="1"/>
    <xf numFmtId="0" fontId="25" fillId="0" borderId="4" xfId="0" applyFont="1" applyBorder="1"/>
    <xf numFmtId="0" fontId="25" fillId="3" borderId="4" xfId="0" applyFont="1" applyFill="1" applyBorder="1"/>
    <xf numFmtId="0" fontId="26" fillId="0" borderId="3" xfId="0" applyFont="1" applyBorder="1"/>
    <xf numFmtId="0" fontId="26" fillId="0" borderId="1" xfId="0" applyFont="1" applyBorder="1"/>
    <xf numFmtId="0" fontId="17" fillId="12" borderId="3" xfId="0" applyFont="1" applyFill="1" applyBorder="1"/>
    <xf numFmtId="0" fontId="27" fillId="0" borderId="0" xfId="0" applyFont="1"/>
    <xf numFmtId="0" fontId="31" fillId="0" borderId="16" xfId="0" applyFont="1" applyBorder="1" applyAlignment="1">
      <alignment horizontal="left" vertical="center"/>
    </xf>
    <xf numFmtId="0" fontId="30" fillId="0" borderId="16" xfId="0" applyFont="1" applyBorder="1" applyAlignment="1">
      <alignment vertical="center"/>
    </xf>
    <xf numFmtId="0" fontId="38" fillId="13" borderId="16" xfId="0" applyFont="1" applyFill="1" applyBorder="1"/>
    <xf numFmtId="0" fontId="39" fillId="0" borderId="0" xfId="0" applyFont="1"/>
    <xf numFmtId="0" fontId="19" fillId="0" borderId="16" xfId="0" applyFont="1" applyBorder="1" applyAlignment="1">
      <alignment horizontal="left" vertical="center"/>
    </xf>
    <xf numFmtId="0" fontId="19" fillId="0" borderId="16" xfId="0" applyFont="1" applyBorder="1" applyAlignment="1">
      <alignment horizontal="center" vertical="center"/>
    </xf>
    <xf numFmtId="165" fontId="30" fillId="4" borderId="16" xfId="0" applyNumberFormat="1" applyFont="1" applyFill="1" applyBorder="1" applyAlignment="1">
      <alignment horizontal="center" vertical="center"/>
    </xf>
    <xf numFmtId="0" fontId="34" fillId="13" borderId="18" xfId="0" applyFont="1" applyFill="1" applyBorder="1"/>
    <xf numFmtId="0" fontId="10" fillId="13" borderId="18" xfId="0" applyFont="1" applyFill="1" applyBorder="1" applyAlignment="1">
      <alignment horizontal="center" vertical="center"/>
    </xf>
    <xf numFmtId="0" fontId="19" fillId="13" borderId="18" xfId="0" applyFont="1" applyFill="1" applyBorder="1" applyAlignment="1">
      <alignment horizontal="left" vertical="center"/>
    </xf>
    <xf numFmtId="0" fontId="19" fillId="0" borderId="22" xfId="0" applyFont="1" applyBorder="1" applyAlignment="1">
      <alignment horizontal="center" vertical="center"/>
    </xf>
    <xf numFmtId="0" fontId="19" fillId="0" borderId="22" xfId="0" applyFont="1" applyBorder="1" applyAlignment="1">
      <alignment horizontal="left" vertical="center"/>
    </xf>
    <xf numFmtId="0" fontId="19" fillId="0" borderId="25" xfId="0" applyFont="1" applyBorder="1" applyAlignment="1">
      <alignment horizontal="center" vertical="center"/>
    </xf>
    <xf numFmtId="0" fontId="19" fillId="0" borderId="25" xfId="0" applyFont="1" applyBorder="1" applyAlignment="1">
      <alignment horizontal="left" vertical="center"/>
    </xf>
    <xf numFmtId="0" fontId="34" fillId="13" borderId="19" xfId="0" applyFont="1" applyFill="1" applyBorder="1"/>
    <xf numFmtId="0" fontId="10" fillId="13" borderId="19" xfId="0" applyFont="1" applyFill="1" applyBorder="1" applyAlignment="1">
      <alignment horizontal="center" vertical="center"/>
    </xf>
    <xf numFmtId="0" fontId="19" fillId="13" borderId="19" xfId="0" applyFont="1" applyFill="1" applyBorder="1" applyAlignment="1">
      <alignment horizontal="left" vertical="center"/>
    </xf>
    <xf numFmtId="0" fontId="19" fillId="16" borderId="25" xfId="0" applyFont="1" applyFill="1" applyBorder="1" applyAlignment="1">
      <alignment horizontal="left" vertical="center"/>
    </xf>
    <xf numFmtId="0" fontId="19" fillId="16" borderId="23" xfId="0" applyFont="1" applyFill="1" applyBorder="1" applyAlignment="1">
      <alignment horizontal="left" vertical="center"/>
    </xf>
    <xf numFmtId="0" fontId="19" fillId="16" borderId="26" xfId="0" applyFont="1" applyFill="1" applyBorder="1" applyAlignment="1">
      <alignment horizontal="left" vertical="center"/>
    </xf>
    <xf numFmtId="0" fontId="26" fillId="2" borderId="3" xfId="0" applyFont="1" applyFill="1" applyBorder="1"/>
    <xf numFmtId="0" fontId="26" fillId="2" borderId="0" xfId="0" applyFont="1" applyFill="1"/>
    <xf numFmtId="0" fontId="38" fillId="13" borderId="18" xfId="0" applyFont="1" applyFill="1" applyBorder="1"/>
    <xf numFmtId="0" fontId="19" fillId="0" borderId="3" xfId="0" applyFont="1" applyBorder="1" applyAlignment="1">
      <alignment vertical="center"/>
    </xf>
    <xf numFmtId="0" fontId="40" fillId="17" borderId="27" xfId="0" applyFont="1" applyFill="1" applyBorder="1" applyAlignment="1">
      <alignment vertical="center" wrapText="1"/>
    </xf>
    <xf numFmtId="0" fontId="41" fillId="17" borderId="29" xfId="0" applyFont="1" applyFill="1" applyBorder="1" applyAlignment="1">
      <alignment horizontal="left" vertical="center"/>
    </xf>
    <xf numFmtId="166" fontId="42" fillId="4" borderId="16" xfId="0" applyNumberFormat="1" applyFont="1" applyFill="1" applyBorder="1" applyAlignment="1">
      <alignment horizontal="center" vertical="center"/>
    </xf>
    <xf numFmtId="0" fontId="19" fillId="16" borderId="29" xfId="0" applyFont="1" applyFill="1" applyBorder="1" applyAlignment="1">
      <alignment horizontal="left" vertical="center"/>
    </xf>
    <xf numFmtId="0" fontId="19" fillId="16" borderId="28" xfId="0" applyFont="1" applyFill="1" applyBorder="1" applyAlignment="1">
      <alignment horizontal="left" vertical="center"/>
    </xf>
    <xf numFmtId="0" fontId="19" fillId="0" borderId="20" xfId="0" applyFont="1" applyBorder="1" applyAlignment="1">
      <alignment horizontal="left" vertical="center"/>
    </xf>
    <xf numFmtId="0" fontId="17" fillId="18" borderId="3" xfId="0" applyFont="1" applyFill="1" applyBorder="1"/>
    <xf numFmtId="0" fontId="19" fillId="0" borderId="19" xfId="0" applyFont="1" applyBorder="1" applyAlignment="1">
      <alignment horizontal="left" vertical="center"/>
    </xf>
    <xf numFmtId="0" fontId="19" fillId="0" borderId="3" xfId="0" applyFont="1" applyBorder="1" applyAlignment="1">
      <alignment horizontal="center" vertical="center"/>
    </xf>
    <xf numFmtId="0" fontId="34" fillId="13" borderId="3" xfId="0" applyFont="1" applyFill="1" applyBorder="1"/>
    <xf numFmtId="0" fontId="10" fillId="13" borderId="3" xfId="0" applyFont="1" applyFill="1" applyBorder="1" applyAlignment="1">
      <alignment horizontal="center" vertical="center"/>
    </xf>
    <xf numFmtId="0" fontId="30" fillId="0" borderId="3" xfId="0" applyFont="1" applyBorder="1" applyAlignment="1">
      <alignment horizontal="center" vertical="center"/>
    </xf>
    <xf numFmtId="0" fontId="19" fillId="0" borderId="4" xfId="0" applyFont="1" applyBorder="1" applyAlignment="1">
      <alignment horizontal="center" vertical="center"/>
    </xf>
    <xf numFmtId="0" fontId="19" fillId="16" borderId="32" xfId="0" applyFont="1" applyFill="1" applyBorder="1" applyAlignment="1">
      <alignment horizontal="left" vertical="center"/>
    </xf>
    <xf numFmtId="0" fontId="8" fillId="0" borderId="19" xfId="0" applyFont="1" applyBorder="1" applyAlignment="1">
      <alignment horizontal="left" vertical="center"/>
    </xf>
    <xf numFmtId="0" fontId="30" fillId="0" borderId="1" xfId="0" applyFont="1" applyBorder="1" applyAlignment="1">
      <alignment horizontal="center" vertical="center"/>
    </xf>
    <xf numFmtId="0" fontId="19" fillId="0" borderId="1" xfId="0" applyFont="1" applyBorder="1" applyAlignment="1">
      <alignment horizontal="center" vertical="center"/>
    </xf>
    <xf numFmtId="0" fontId="8" fillId="0" borderId="34" xfId="0" applyFont="1" applyBorder="1" applyAlignment="1">
      <alignment horizontal="left" vertical="center"/>
    </xf>
    <xf numFmtId="0" fontId="26" fillId="0" borderId="0" xfId="0" applyFont="1"/>
    <xf numFmtId="0" fontId="19" fillId="16" borderId="22" xfId="0" applyFont="1" applyFill="1" applyBorder="1" applyAlignment="1">
      <alignment horizontal="left" vertical="center"/>
    </xf>
    <xf numFmtId="0" fontId="19" fillId="16" borderId="35" xfId="0" applyFont="1" applyFill="1" applyBorder="1" applyAlignment="1">
      <alignment horizontal="left" vertical="center"/>
    </xf>
    <xf numFmtId="0" fontId="19" fillId="13" borderId="3" xfId="0" applyFont="1" applyFill="1" applyBorder="1"/>
    <xf numFmtId="0" fontId="19" fillId="0" borderId="36" xfId="0" applyFont="1" applyBorder="1" applyAlignment="1">
      <alignment horizontal="left" vertical="center"/>
    </xf>
    <xf numFmtId="0" fontId="19" fillId="16" borderId="37" xfId="0" applyFont="1" applyFill="1" applyBorder="1" applyAlignment="1">
      <alignment horizontal="left" vertical="center"/>
    </xf>
    <xf numFmtId="0" fontId="19" fillId="16" borderId="20" xfId="0" applyFont="1" applyFill="1" applyBorder="1" applyAlignment="1">
      <alignment horizontal="left" vertical="center"/>
    </xf>
    <xf numFmtId="0" fontId="19" fillId="16" borderId="19" xfId="0" applyFont="1" applyFill="1" applyBorder="1" applyAlignment="1">
      <alignment horizontal="left" vertical="center"/>
    </xf>
    <xf numFmtId="0" fontId="19" fillId="16" borderId="36" xfId="0" applyFont="1" applyFill="1" applyBorder="1" applyAlignment="1">
      <alignment horizontal="left" vertical="center"/>
    </xf>
    <xf numFmtId="0" fontId="20" fillId="0" borderId="3" xfId="0" applyFont="1" applyBorder="1"/>
    <xf numFmtId="0" fontId="19" fillId="3" borderId="22" xfId="0" applyFont="1" applyFill="1" applyBorder="1" applyAlignment="1">
      <alignment horizontal="left" vertical="center"/>
    </xf>
    <xf numFmtId="0" fontId="19" fillId="3" borderId="3" xfId="0" applyFont="1" applyFill="1" applyBorder="1"/>
    <xf numFmtId="0" fontId="17" fillId="3" borderId="3" xfId="0" applyFont="1" applyFill="1" applyBorder="1"/>
    <xf numFmtId="164" fontId="8" fillId="8" borderId="10" xfId="0" applyNumberFormat="1" applyFont="1" applyFill="1" applyBorder="1" applyAlignment="1">
      <alignment horizontal="center" vertical="center"/>
    </xf>
    <xf numFmtId="164" fontId="8" fillId="8" borderId="11" xfId="0" applyNumberFormat="1" applyFont="1" applyFill="1" applyBorder="1" applyAlignment="1">
      <alignment horizontal="center" vertical="center"/>
    </xf>
    <xf numFmtId="164" fontId="8" fillId="8" borderId="12" xfId="0" applyNumberFormat="1" applyFont="1" applyFill="1" applyBorder="1" applyAlignment="1">
      <alignment horizontal="center" vertical="center"/>
    </xf>
    <xf numFmtId="0" fontId="22" fillId="8" borderId="3" xfId="0" applyFont="1" applyFill="1" applyBorder="1" applyAlignment="1">
      <alignment horizontal="center"/>
    </xf>
    <xf numFmtId="164" fontId="8" fillId="8" borderId="17" xfId="0" applyNumberFormat="1" applyFont="1" applyFill="1" applyBorder="1" applyAlignment="1">
      <alignment horizontal="center" vertical="center"/>
    </xf>
    <xf numFmtId="164" fontId="8" fillId="8" borderId="15" xfId="0" applyNumberFormat="1" applyFont="1" applyFill="1" applyBorder="1" applyAlignment="1">
      <alignment horizontal="center" vertical="center"/>
    </xf>
    <xf numFmtId="164" fontId="8" fillId="8" borderId="14" xfId="0" applyNumberFormat="1" applyFont="1" applyFill="1" applyBorder="1" applyAlignment="1">
      <alignment horizontal="center" vertical="center"/>
    </xf>
    <xf numFmtId="164" fontId="29" fillId="4" borderId="16" xfId="0" applyNumberFormat="1" applyFont="1" applyFill="1" applyBorder="1" applyAlignment="1">
      <alignment horizontal="center" vertical="center" wrapText="1"/>
    </xf>
    <xf numFmtId="0" fontId="28" fillId="0" borderId="16" xfId="0" applyFont="1" applyBorder="1" applyAlignment="1">
      <alignment horizontal="center" vertical="center" wrapText="1"/>
    </xf>
    <xf numFmtId="0" fontId="28" fillId="0" borderId="16" xfId="0" applyFont="1" applyBorder="1" applyAlignment="1">
      <alignment horizontal="center" vertical="center"/>
    </xf>
    <xf numFmtId="0" fontId="33" fillId="0" borderId="16" xfId="0" applyFont="1" applyBorder="1" applyAlignment="1">
      <alignment horizontal="center" vertical="center" wrapText="1"/>
    </xf>
    <xf numFmtId="0" fontId="33" fillId="0" borderId="16" xfId="0" applyFont="1" applyBorder="1" applyAlignment="1">
      <alignment horizontal="center" vertical="center"/>
    </xf>
    <xf numFmtId="0" fontId="33" fillId="14" borderId="21" xfId="0" applyFont="1" applyFill="1" applyBorder="1" applyAlignment="1">
      <alignment horizontal="center" vertical="center" wrapText="1"/>
    </xf>
    <xf numFmtId="0" fontId="33" fillId="14" borderId="24" xfId="0" applyFont="1" applyFill="1" applyBorder="1" applyAlignment="1">
      <alignment horizontal="center" vertical="center" wrapText="1"/>
    </xf>
    <xf numFmtId="0" fontId="33" fillId="8" borderId="21" xfId="0" applyFont="1" applyFill="1" applyBorder="1" applyAlignment="1">
      <alignment horizontal="center" vertical="center" wrapText="1"/>
    </xf>
    <xf numFmtId="0" fontId="33" fillId="8" borderId="24" xfId="0" applyFont="1" applyFill="1" applyBorder="1" applyAlignment="1">
      <alignment horizontal="center" vertical="center" wrapText="1"/>
    </xf>
    <xf numFmtId="0" fontId="33" fillId="3" borderId="21" xfId="0" applyFont="1" applyFill="1" applyBorder="1" applyAlignment="1">
      <alignment horizontal="center" vertical="center" wrapText="1"/>
    </xf>
    <xf numFmtId="0" fontId="33" fillId="3" borderId="24" xfId="0" applyFont="1" applyFill="1" applyBorder="1" applyAlignment="1">
      <alignment horizontal="center" vertical="center" wrapText="1"/>
    </xf>
    <xf numFmtId="0" fontId="33" fillId="15" borderId="31" xfId="0" applyFont="1" applyFill="1" applyBorder="1" applyAlignment="1">
      <alignment horizontal="center" vertical="center" wrapText="1"/>
    </xf>
    <xf numFmtId="0" fontId="33" fillId="15" borderId="30" xfId="0" applyFont="1" applyFill="1" applyBorder="1" applyAlignment="1">
      <alignment horizontal="center" vertical="center" wrapText="1"/>
    </xf>
    <xf numFmtId="0" fontId="28" fillId="0" borderId="17"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8" xfId="0" applyFont="1" applyBorder="1" applyAlignment="1">
      <alignment horizontal="center" vertical="center" wrapText="1"/>
    </xf>
    <xf numFmtId="0" fontId="20" fillId="0" borderId="1" xfId="0" applyFont="1" applyBorder="1" applyAlignment="1">
      <alignment horizontal="center"/>
    </xf>
    <xf numFmtId="0" fontId="20" fillId="0" borderId="6" xfId="0" applyFont="1" applyBorder="1" applyAlignment="1">
      <alignment horizontal="center"/>
    </xf>
    <xf numFmtId="0" fontId="20" fillId="0" borderId="5" xfId="0" applyFont="1" applyBorder="1" applyAlignment="1">
      <alignment horizontal="center"/>
    </xf>
    <xf numFmtId="0" fontId="20" fillId="0" borderId="3" xfId="0" applyFont="1" applyBorder="1" applyAlignment="1">
      <alignment horizontal="center"/>
    </xf>
    <xf numFmtId="0" fontId="35" fillId="0" borderId="21" xfId="0" applyFont="1" applyBorder="1" applyAlignment="1">
      <alignment horizontal="center" vertical="center" wrapText="1"/>
    </xf>
    <xf numFmtId="0" fontId="35" fillId="0" borderId="24" xfId="0" applyFont="1" applyBorder="1" applyAlignment="1">
      <alignment horizontal="center" vertical="center" wrapText="1"/>
    </xf>
    <xf numFmtId="0" fontId="36" fillId="0" borderId="21" xfId="0" applyFont="1" applyBorder="1" applyAlignment="1">
      <alignment horizontal="center" vertical="center" wrapText="1"/>
    </xf>
    <xf numFmtId="0" fontId="36" fillId="0" borderId="2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 xfId="0" applyFont="1" applyBorder="1" applyAlignment="1">
      <alignment horizontal="center" vertical="center" wrapText="1"/>
    </xf>
    <xf numFmtId="0" fontId="37" fillId="0" borderId="4" xfId="0" applyFont="1" applyBorder="1" applyAlignment="1">
      <alignment horizontal="center" vertical="center" wrapText="1"/>
    </xf>
    <xf numFmtId="0" fontId="37" fillId="0" borderId="2" xfId="0" applyFont="1" applyBorder="1" applyAlignment="1">
      <alignment horizontal="center" vertical="center" wrapText="1"/>
    </xf>
    <xf numFmtId="164" fontId="8" fillId="7" borderId="10" xfId="0" applyNumberFormat="1" applyFont="1" applyFill="1" applyBorder="1" applyAlignment="1">
      <alignment horizontal="center" vertical="center"/>
    </xf>
    <xf numFmtId="164" fontId="8" fillId="7" borderId="11" xfId="0" applyNumberFormat="1" applyFont="1" applyFill="1" applyBorder="1" applyAlignment="1">
      <alignment horizontal="center" vertical="center"/>
    </xf>
    <xf numFmtId="164" fontId="8" fillId="7" borderId="12" xfId="0" applyNumberFormat="1" applyFont="1" applyFill="1" applyBorder="1" applyAlignment="1">
      <alignment horizontal="center" vertical="center"/>
    </xf>
    <xf numFmtId="164" fontId="8" fillId="7" borderId="3" xfId="0" applyNumberFormat="1" applyFont="1" applyFill="1" applyBorder="1" applyAlignment="1">
      <alignment horizontal="center" vertical="center"/>
    </xf>
    <xf numFmtId="0" fontId="12" fillId="6" borderId="13" xfId="0" applyFont="1" applyFill="1" applyBorder="1" applyAlignment="1">
      <alignment horizontal="center"/>
    </xf>
    <xf numFmtId="164" fontId="8" fillId="3" borderId="10" xfId="0" applyNumberFormat="1" applyFont="1" applyFill="1" applyBorder="1" applyAlignment="1">
      <alignment horizontal="center" vertical="center"/>
    </xf>
    <xf numFmtId="164" fontId="8" fillId="3" borderId="15" xfId="0" applyNumberFormat="1" applyFont="1" applyFill="1" applyBorder="1" applyAlignment="1">
      <alignment horizontal="center" vertical="center"/>
    </xf>
    <xf numFmtId="164" fontId="8" fillId="3" borderId="14" xfId="0" applyNumberFormat="1" applyFont="1" applyFill="1" applyBorder="1" applyAlignment="1">
      <alignment horizontal="center" vertical="center"/>
    </xf>
    <xf numFmtId="164" fontId="8" fillId="3" borderId="11" xfId="0" applyNumberFormat="1" applyFont="1" applyFill="1" applyBorder="1" applyAlignment="1">
      <alignment horizontal="center" vertical="center"/>
    </xf>
    <xf numFmtId="164" fontId="8" fillId="3" borderId="12" xfId="0" applyNumberFormat="1" applyFont="1" applyFill="1" applyBorder="1" applyAlignment="1">
      <alignment horizontal="center" vertical="center"/>
    </xf>
    <xf numFmtId="0" fontId="22" fillId="3" borderId="3" xfId="0" applyFont="1" applyFill="1" applyBorder="1" applyAlignment="1">
      <alignment horizontal="center"/>
    </xf>
    <xf numFmtId="0" fontId="23" fillId="3" borderId="3" xfId="0" applyFont="1" applyFill="1" applyBorder="1" applyAlignment="1">
      <alignment horizontal="center"/>
    </xf>
    <xf numFmtId="164" fontId="8" fillId="10" borderId="10" xfId="0" applyNumberFormat="1" applyFont="1" applyFill="1" applyBorder="1" applyAlignment="1">
      <alignment horizontal="center" vertical="center"/>
    </xf>
    <xf numFmtId="164" fontId="8" fillId="10" borderId="11" xfId="0" applyNumberFormat="1" applyFont="1" applyFill="1" applyBorder="1" applyAlignment="1">
      <alignment horizontal="center" vertical="center"/>
    </xf>
    <xf numFmtId="164" fontId="8" fillId="10" borderId="12" xfId="0" applyNumberFormat="1" applyFont="1" applyFill="1" applyBorder="1" applyAlignment="1">
      <alignment horizontal="center" vertical="center"/>
    </xf>
    <xf numFmtId="164" fontId="8" fillId="11" borderId="10" xfId="0" applyNumberFormat="1" applyFont="1" applyFill="1" applyBorder="1" applyAlignment="1">
      <alignment horizontal="center" vertical="center"/>
    </xf>
    <xf numFmtId="164" fontId="8" fillId="11" borderId="11" xfId="0" applyNumberFormat="1" applyFont="1" applyFill="1" applyBorder="1" applyAlignment="1">
      <alignment horizontal="center" vertical="center"/>
    </xf>
    <xf numFmtId="164" fontId="8" fillId="11" borderId="12" xfId="0" applyNumberFormat="1" applyFont="1" applyFill="1" applyBorder="1" applyAlignment="1">
      <alignment horizontal="center" vertical="center"/>
    </xf>
    <xf numFmtId="0" fontId="24" fillId="11" borderId="1" xfId="0" applyFont="1" applyFill="1" applyBorder="1" applyAlignment="1">
      <alignment horizontal="center" vertical="center"/>
    </xf>
    <xf numFmtId="0" fontId="24" fillId="11" borderId="6" xfId="0" applyFont="1" applyFill="1" applyBorder="1" applyAlignment="1">
      <alignment horizontal="center" vertical="center"/>
    </xf>
    <xf numFmtId="0" fontId="24" fillId="11" borderId="5" xfId="0" applyFont="1" applyFill="1" applyBorder="1" applyAlignment="1">
      <alignment horizontal="center" vertical="center"/>
    </xf>
    <xf numFmtId="0" fontId="24" fillId="10" borderId="1" xfId="0" applyFont="1" applyFill="1" applyBorder="1" applyAlignment="1">
      <alignment horizontal="center" vertical="center"/>
    </xf>
    <xf numFmtId="0" fontId="24" fillId="10" borderId="6" xfId="0" applyFont="1" applyFill="1" applyBorder="1" applyAlignment="1">
      <alignment horizontal="center" vertical="center"/>
    </xf>
    <xf numFmtId="0" fontId="24" fillId="10" borderId="5" xfId="0" applyFont="1" applyFill="1" applyBorder="1" applyAlignment="1">
      <alignment horizontal="center" vertical="center"/>
    </xf>
    <xf numFmtId="0" fontId="26" fillId="2" borderId="4" xfId="0" applyFont="1" applyFill="1" applyBorder="1" applyAlignment="1">
      <alignment horizontal="left" wrapText="1"/>
    </xf>
    <xf numFmtId="0" fontId="26" fillId="2" borderId="2" xfId="0" applyFont="1" applyFill="1" applyBorder="1" applyAlignment="1">
      <alignment horizontal="left" wrapText="1"/>
    </xf>
    <xf numFmtId="164" fontId="8" fillId="9" borderId="10" xfId="0" applyNumberFormat="1" applyFont="1" applyFill="1" applyBorder="1" applyAlignment="1">
      <alignment horizontal="center" vertical="center"/>
    </xf>
    <xf numFmtId="164" fontId="8" fillId="9" borderId="11" xfId="0" applyNumberFormat="1" applyFont="1" applyFill="1" applyBorder="1" applyAlignment="1">
      <alignment horizontal="center" vertical="center"/>
    </xf>
    <xf numFmtId="164" fontId="8" fillId="9" borderId="12" xfId="0" applyNumberFormat="1" applyFont="1" applyFill="1" applyBorder="1" applyAlignment="1">
      <alignment horizontal="center" vertical="center"/>
    </xf>
    <xf numFmtId="164" fontId="8" fillId="10" borderId="17" xfId="0" applyNumberFormat="1" applyFont="1" applyFill="1" applyBorder="1" applyAlignment="1">
      <alignment horizontal="center" vertical="center"/>
    </xf>
    <xf numFmtId="164" fontId="8" fillId="10" borderId="15" xfId="0" applyNumberFormat="1" applyFont="1" applyFill="1" applyBorder="1" applyAlignment="1">
      <alignment horizontal="center" vertical="center"/>
    </xf>
    <xf numFmtId="164" fontId="8" fillId="10" borderId="14" xfId="0" applyNumberFormat="1" applyFont="1" applyFill="1" applyBorder="1" applyAlignment="1">
      <alignment horizontal="center" vertical="center"/>
    </xf>
    <xf numFmtId="0" fontId="22" fillId="10" borderId="3" xfId="0" applyFont="1" applyFill="1" applyBorder="1" applyAlignment="1">
      <alignment horizontal="center"/>
    </xf>
    <xf numFmtId="0" fontId="22" fillId="9" borderId="3" xfId="0" applyFont="1" applyFill="1" applyBorder="1" applyAlignment="1">
      <alignment horizontal="center"/>
    </xf>
    <xf numFmtId="164" fontId="8" fillId="9" borderId="17" xfId="0" applyNumberFormat="1" applyFont="1" applyFill="1" applyBorder="1" applyAlignment="1">
      <alignment horizontal="center" vertical="center"/>
    </xf>
    <xf numFmtId="164" fontId="8" fillId="9" borderId="15" xfId="0" applyNumberFormat="1" applyFont="1" applyFill="1" applyBorder="1" applyAlignment="1">
      <alignment horizontal="center" vertical="center"/>
    </xf>
    <xf numFmtId="164" fontId="8" fillId="9" borderId="14" xfId="0" applyNumberFormat="1" applyFont="1" applyFill="1" applyBorder="1" applyAlignment="1">
      <alignment horizontal="center" vertical="center"/>
    </xf>
    <xf numFmtId="164" fontId="6" fillId="4" borderId="3" xfId="0" applyNumberFormat="1" applyFont="1" applyFill="1" applyBorder="1" applyAlignment="1">
      <alignment horizontal="center" vertical="center"/>
    </xf>
    <xf numFmtId="164" fontId="7" fillId="4" borderId="3" xfId="0" applyNumberFormat="1" applyFont="1" applyFill="1" applyBorder="1" applyAlignment="1">
      <alignment horizontal="center" vertical="center"/>
    </xf>
  </cellXfs>
  <cellStyles count="3">
    <cellStyle name="Excel Built-in Normal" xfId="1" xr:uid="{00000000-0005-0000-0000-000000000000}"/>
    <cellStyle name="Excel Built-in Normal 1" xfId="2" xr:uid="{00000000-0005-0000-0000-000001000000}"/>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00"/>
      <color rgb="FFF2BBCC"/>
      <color rgb="FF5959E1"/>
      <color rgb="FFA02B93"/>
      <color rgb="FFE49EDD"/>
      <color rgb="FFC1F0C8"/>
      <color rgb="FFDB376B"/>
      <color rgb="FFC29191"/>
      <color rgb="FFF788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B013-2AE8-4805-952B-0D94B3A698EF}">
  <sheetPr>
    <tabColor rgb="FFC65911"/>
  </sheetPr>
  <dimension ref="B1:D11"/>
  <sheetViews>
    <sheetView workbookViewId="0">
      <selection activeCell="B29" sqref="B29"/>
    </sheetView>
  </sheetViews>
  <sheetFormatPr baseColWidth="10" defaultColWidth="9.1640625" defaultRowHeight="14" x14ac:dyDescent="0.2"/>
  <cols>
    <col min="1" max="1" width="9.1640625" style="10"/>
    <col min="2" max="2" width="33.6640625" style="10" customWidth="1"/>
    <col min="3" max="3" width="13.33203125" style="10" customWidth="1"/>
    <col min="4" max="4" width="40" style="10" customWidth="1"/>
    <col min="5" max="16384" width="9.1640625" style="10"/>
  </cols>
  <sheetData>
    <row r="1" spans="2:4" ht="19" x14ac:dyDescent="0.25">
      <c r="B1" s="27"/>
    </row>
    <row r="2" spans="2:4" ht="19" x14ac:dyDescent="0.25">
      <c r="B2" s="28" t="s">
        <v>0</v>
      </c>
      <c r="C2" s="28" t="s">
        <v>1</v>
      </c>
      <c r="D2" s="28" t="s">
        <v>2</v>
      </c>
    </row>
    <row r="3" spans="2:4" ht="15" x14ac:dyDescent="0.2">
      <c r="B3" s="34" t="s">
        <v>3</v>
      </c>
      <c r="C3" s="33" t="s">
        <v>4</v>
      </c>
      <c r="D3" s="34" t="s">
        <v>5</v>
      </c>
    </row>
    <row r="4" spans="2:4" ht="15" x14ac:dyDescent="0.2">
      <c r="B4" s="34" t="s">
        <v>6</v>
      </c>
      <c r="C4" s="33" t="s">
        <v>4</v>
      </c>
      <c r="D4" s="34" t="s">
        <v>5</v>
      </c>
    </row>
    <row r="5" spans="2:4" ht="15" x14ac:dyDescent="0.2">
      <c r="B5" s="34" t="s">
        <v>7</v>
      </c>
      <c r="C5" s="33" t="s">
        <v>4</v>
      </c>
      <c r="D5" s="34" t="s">
        <v>5</v>
      </c>
    </row>
    <row r="6" spans="2:4" ht="15" x14ac:dyDescent="0.2">
      <c r="B6" s="34"/>
      <c r="C6" s="33"/>
      <c r="D6" s="33"/>
    </row>
    <row r="7" spans="2:4" ht="15" x14ac:dyDescent="0.2">
      <c r="B7" s="34"/>
      <c r="C7" s="33"/>
      <c r="D7" s="33"/>
    </row>
    <row r="8" spans="2:4" ht="15" x14ac:dyDescent="0.2">
      <c r="B8" s="34"/>
      <c r="C8" s="33"/>
      <c r="D8" s="33"/>
    </row>
    <row r="9" spans="2:4" ht="15" x14ac:dyDescent="0.2">
      <c r="B9" s="34"/>
      <c r="C9" s="33"/>
      <c r="D9" s="33"/>
    </row>
    <row r="10" spans="2:4" ht="15" x14ac:dyDescent="0.2">
      <c r="B10" s="34"/>
      <c r="C10" s="33"/>
      <c r="D10" s="33"/>
    </row>
    <row r="11" spans="2:4" ht="15" x14ac:dyDescent="0.2">
      <c r="B11" s="34"/>
      <c r="C11" s="33"/>
      <c r="D11"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BE660-2E23-47A0-B73A-92D1B4B130B0}">
  <sheetPr>
    <tabColor rgb="FF7030A0"/>
  </sheetPr>
  <dimension ref="A1:L37"/>
  <sheetViews>
    <sheetView showGridLines="0" workbookViewId="0">
      <pane xSplit="5" ySplit="2" topLeftCell="F3" activePane="bottomRight" state="frozen"/>
      <selection pane="topRight"/>
      <selection pane="bottomLeft"/>
      <selection pane="bottomRight" activeCell="H18" sqref="H18"/>
    </sheetView>
  </sheetViews>
  <sheetFormatPr baseColWidth="10" defaultColWidth="9.1640625" defaultRowHeight="22" x14ac:dyDescent="0.3"/>
  <cols>
    <col min="1" max="1" width="7.6640625" style="9" customWidth="1"/>
    <col min="2" max="2" width="5.6640625" style="9" customWidth="1"/>
    <col min="3" max="3" width="18.33203125" style="36" customWidth="1"/>
    <col min="4" max="4" width="24.5" style="9" bestFit="1" customWidth="1"/>
    <col min="5" max="5" width="17.5" style="9" bestFit="1" customWidth="1"/>
    <col min="6" max="12" width="24.6640625" style="22" customWidth="1"/>
    <col min="13" max="13" width="25.6640625" style="10" customWidth="1"/>
    <col min="14" max="14" width="5.6640625" style="10" customWidth="1"/>
    <col min="15" max="15" width="18.5" style="10" customWidth="1"/>
    <col min="16" max="16" width="25.6640625" style="10" customWidth="1"/>
    <col min="17" max="16384" width="9.1640625" style="10"/>
  </cols>
  <sheetData>
    <row r="1" spans="2:12" ht="15" x14ac:dyDescent="0.2">
      <c r="B1" s="9" t="s">
        <v>8</v>
      </c>
      <c r="C1" s="95" t="str">
        <f>UPPER(TEXT(F2,"MMMM"))&amp;" - ECOGRAFIA"</f>
        <v>OCTUBRE - ECOGRAFIA</v>
      </c>
      <c r="D1" s="95"/>
      <c r="E1" s="95"/>
      <c r="F1" s="59" t="str">
        <f>TEXT(F2,"dddd")&amp;" FESTIVO"</f>
        <v>lunes FESTIVO</v>
      </c>
      <c r="G1" s="59">
        <f t="shared" ref="G1:L1" si="0">+G2</f>
        <v>46308</v>
      </c>
      <c r="H1" s="59">
        <f t="shared" si="0"/>
        <v>46309</v>
      </c>
      <c r="I1" s="59">
        <f t="shared" si="0"/>
        <v>46310</v>
      </c>
      <c r="J1" s="59">
        <f t="shared" si="0"/>
        <v>46311</v>
      </c>
      <c r="K1" s="59">
        <f t="shared" si="0"/>
        <v>46312</v>
      </c>
      <c r="L1" s="59">
        <f t="shared" si="0"/>
        <v>46313</v>
      </c>
    </row>
    <row r="2" spans="2:12" ht="15" x14ac:dyDescent="0.2">
      <c r="B2" s="9" t="s">
        <v>9</v>
      </c>
      <c r="C2" s="95"/>
      <c r="D2" s="95"/>
      <c r="E2" s="95"/>
      <c r="F2" s="39">
        <v>46307</v>
      </c>
      <c r="G2" s="39">
        <f>+F2+1</f>
        <v>46308</v>
      </c>
      <c r="H2" s="39">
        <f t="shared" ref="H2:L2" si="1">+G2+1</f>
        <v>46309</v>
      </c>
      <c r="I2" s="39">
        <f t="shared" si="1"/>
        <v>46310</v>
      </c>
      <c r="J2" s="39">
        <f t="shared" si="1"/>
        <v>46311</v>
      </c>
      <c r="K2" s="39">
        <f t="shared" si="1"/>
        <v>46312</v>
      </c>
      <c r="L2" s="39">
        <f t="shared" si="1"/>
        <v>46313</v>
      </c>
    </row>
    <row r="3" spans="2:12" ht="20" customHeight="1" x14ac:dyDescent="0.2">
      <c r="B3" s="9" t="s">
        <v>10</v>
      </c>
      <c r="C3" s="96" t="s">
        <v>11</v>
      </c>
      <c r="D3" s="98" t="s">
        <v>12</v>
      </c>
      <c r="E3" s="38" t="s">
        <v>13</v>
      </c>
      <c r="F3" s="37" t="s">
        <v>14</v>
      </c>
      <c r="G3" s="37" t="s">
        <v>15</v>
      </c>
      <c r="H3" s="37" t="s">
        <v>16</v>
      </c>
      <c r="I3" s="37" t="s">
        <v>14</v>
      </c>
      <c r="J3" s="37" t="s">
        <v>17</v>
      </c>
      <c r="K3" s="37" t="s">
        <v>18</v>
      </c>
      <c r="L3" s="37" t="s">
        <v>19</v>
      </c>
    </row>
    <row r="4" spans="2:12" ht="20" customHeight="1" x14ac:dyDescent="0.2">
      <c r="B4" s="9" t="s">
        <v>20</v>
      </c>
      <c r="C4" s="97"/>
      <c r="D4" s="99"/>
      <c r="E4" s="38" t="s">
        <v>21</v>
      </c>
      <c r="F4" s="37" t="s">
        <v>17</v>
      </c>
      <c r="G4" s="37" t="s">
        <v>22</v>
      </c>
      <c r="H4" s="37" t="s">
        <v>18</v>
      </c>
      <c r="I4" s="37" t="s">
        <v>19</v>
      </c>
      <c r="J4" s="37" t="s">
        <v>15</v>
      </c>
      <c r="K4" s="37" t="s">
        <v>23</v>
      </c>
      <c r="L4" s="37" t="s">
        <v>14</v>
      </c>
    </row>
    <row r="5" spans="2:12" ht="20" customHeight="1" x14ac:dyDescent="0.2">
      <c r="B5" s="9" t="s">
        <v>24</v>
      </c>
      <c r="C5" s="97"/>
      <c r="D5" s="99"/>
      <c r="E5" s="38" t="s">
        <v>25</v>
      </c>
      <c r="F5" s="37" t="s">
        <v>19</v>
      </c>
      <c r="G5" s="37" t="s">
        <v>17</v>
      </c>
      <c r="H5" s="37" t="s">
        <v>22</v>
      </c>
      <c r="I5" s="37" t="s">
        <v>18</v>
      </c>
      <c r="J5" s="37" t="s">
        <v>19</v>
      </c>
      <c r="K5" s="37" t="s">
        <v>15</v>
      </c>
      <c r="L5" s="37" t="s">
        <v>23</v>
      </c>
    </row>
    <row r="6" spans="2:12" ht="3" customHeight="1" x14ac:dyDescent="0.3">
      <c r="B6" s="9" t="s">
        <v>26</v>
      </c>
      <c r="C6" s="35"/>
      <c r="D6" s="40"/>
      <c r="E6" s="41"/>
      <c r="F6" s="42"/>
      <c r="G6" s="42"/>
      <c r="H6" s="42"/>
      <c r="I6" s="42"/>
      <c r="J6" s="42"/>
      <c r="K6" s="42"/>
      <c r="L6" s="42"/>
    </row>
    <row r="7" spans="2:12" ht="20" customHeight="1" x14ac:dyDescent="0.2">
      <c r="B7" s="9" t="s">
        <v>27</v>
      </c>
      <c r="C7" s="108" t="s">
        <v>28</v>
      </c>
      <c r="D7" s="100" t="s">
        <v>29</v>
      </c>
      <c r="E7" s="43" t="s">
        <v>30</v>
      </c>
      <c r="F7" s="76"/>
      <c r="G7" s="44" t="s">
        <v>31</v>
      </c>
      <c r="H7" s="44" t="s">
        <v>31</v>
      </c>
      <c r="I7" s="44" t="s">
        <v>27</v>
      </c>
      <c r="J7" s="44" t="s">
        <v>32</v>
      </c>
      <c r="K7" s="44" t="s">
        <v>32</v>
      </c>
      <c r="L7" s="51"/>
    </row>
    <row r="8" spans="2:12" ht="20" customHeight="1" x14ac:dyDescent="0.2">
      <c r="B8" s="9" t="s">
        <v>33</v>
      </c>
      <c r="C8" s="109"/>
      <c r="D8" s="101"/>
      <c r="E8" s="45" t="s">
        <v>34</v>
      </c>
      <c r="F8" s="50"/>
      <c r="G8" s="46" t="s">
        <v>31</v>
      </c>
      <c r="H8" s="46" t="s">
        <v>32</v>
      </c>
      <c r="I8" s="46" t="s">
        <v>33</v>
      </c>
      <c r="J8" s="46" t="s">
        <v>32</v>
      </c>
      <c r="K8" s="50"/>
      <c r="L8" s="52"/>
    </row>
    <row r="9" spans="2:12" ht="20" customHeight="1" x14ac:dyDescent="0.2">
      <c r="B9" s="9" t="s">
        <v>31</v>
      </c>
      <c r="C9" s="109"/>
      <c r="D9" s="102" t="s">
        <v>35</v>
      </c>
      <c r="E9" s="43" t="s">
        <v>30</v>
      </c>
      <c r="F9" s="76"/>
      <c r="G9" s="44" t="s">
        <v>33</v>
      </c>
      <c r="H9" s="44" t="s">
        <v>9</v>
      </c>
      <c r="I9" s="44" t="s">
        <v>33</v>
      </c>
      <c r="J9" s="44" t="s">
        <v>36</v>
      </c>
      <c r="K9" s="44" t="s">
        <v>36</v>
      </c>
      <c r="L9" s="51"/>
    </row>
    <row r="10" spans="2:12" ht="20" customHeight="1" x14ac:dyDescent="0.2">
      <c r="B10" s="9" t="s">
        <v>37</v>
      </c>
      <c r="C10" s="109"/>
      <c r="D10" s="103"/>
      <c r="E10" s="45" t="s">
        <v>34</v>
      </c>
      <c r="F10" s="50"/>
      <c r="G10" s="46" t="s">
        <v>27</v>
      </c>
      <c r="H10" s="46" t="s">
        <v>38</v>
      </c>
      <c r="I10" s="46" t="s">
        <v>31</v>
      </c>
      <c r="J10" s="46" t="s">
        <v>39</v>
      </c>
      <c r="K10" s="50"/>
      <c r="L10" s="52"/>
    </row>
    <row r="11" spans="2:12" ht="20" customHeight="1" x14ac:dyDescent="0.2">
      <c r="C11" s="109"/>
      <c r="D11" s="104" t="s">
        <v>40</v>
      </c>
      <c r="E11" s="43" t="s">
        <v>30</v>
      </c>
      <c r="F11" s="76"/>
      <c r="G11" s="44" t="s">
        <v>14</v>
      </c>
      <c r="H11" s="44" t="s">
        <v>15</v>
      </c>
      <c r="I11" s="44" t="s">
        <v>38</v>
      </c>
      <c r="J11" s="44" t="s">
        <v>22</v>
      </c>
      <c r="K11" s="44" t="s">
        <v>22</v>
      </c>
      <c r="L11" s="51"/>
    </row>
    <row r="12" spans="2:12" ht="20" customHeight="1" x14ac:dyDescent="0.2">
      <c r="B12" s="9" t="s">
        <v>32</v>
      </c>
      <c r="C12" s="109"/>
      <c r="D12" s="105"/>
      <c r="E12" s="45" t="s">
        <v>34</v>
      </c>
      <c r="F12" s="50"/>
      <c r="G12" s="46" t="s">
        <v>41</v>
      </c>
      <c r="H12" s="46" t="s">
        <v>15</v>
      </c>
      <c r="I12" s="46" t="s">
        <v>41</v>
      </c>
      <c r="J12" s="46" t="s">
        <v>41</v>
      </c>
      <c r="K12" s="50"/>
      <c r="L12" s="52"/>
    </row>
    <row r="13" spans="2:12" ht="20" customHeight="1" x14ac:dyDescent="0.2">
      <c r="B13" s="9" t="s">
        <v>39</v>
      </c>
      <c r="C13" s="109"/>
      <c r="D13" s="106" t="s">
        <v>42</v>
      </c>
      <c r="E13" s="43" t="s">
        <v>30</v>
      </c>
      <c r="F13" s="76"/>
      <c r="G13" s="44" t="s">
        <v>43</v>
      </c>
      <c r="H13" s="44" t="s">
        <v>43</v>
      </c>
      <c r="I13" s="44" t="s">
        <v>43</v>
      </c>
      <c r="J13" s="44" t="s">
        <v>43</v>
      </c>
      <c r="K13" s="44" t="s">
        <v>43</v>
      </c>
      <c r="L13" s="51"/>
    </row>
    <row r="14" spans="2:12" ht="20" customHeight="1" x14ac:dyDescent="0.2">
      <c r="C14" s="109"/>
      <c r="D14" s="107"/>
      <c r="E14" s="45" t="s">
        <v>34</v>
      </c>
      <c r="F14" s="50"/>
      <c r="G14" s="46" t="s">
        <v>43</v>
      </c>
      <c r="H14" s="46" t="s">
        <v>43</v>
      </c>
      <c r="I14" s="46" t="s">
        <v>43</v>
      </c>
      <c r="J14" s="46" t="s">
        <v>43</v>
      </c>
      <c r="K14" s="50"/>
      <c r="L14" s="52"/>
    </row>
    <row r="15" spans="2:12" ht="3" customHeight="1" x14ac:dyDescent="0.2">
      <c r="C15" s="109"/>
      <c r="D15" s="107"/>
      <c r="E15" s="48"/>
      <c r="F15" s="48"/>
      <c r="G15" s="48"/>
      <c r="H15" s="48"/>
      <c r="I15" s="48"/>
      <c r="J15" s="48"/>
      <c r="K15" s="49"/>
      <c r="L15" s="49"/>
    </row>
    <row r="16" spans="2:12" ht="20" customHeight="1" x14ac:dyDescent="0.2">
      <c r="B16" s="9" t="s">
        <v>41</v>
      </c>
      <c r="C16" s="109"/>
      <c r="D16" s="57" t="s">
        <v>44</v>
      </c>
      <c r="E16" s="58"/>
      <c r="F16" s="58" t="s">
        <v>39</v>
      </c>
      <c r="G16" s="58" t="s">
        <v>45</v>
      </c>
      <c r="H16" s="58" t="s">
        <v>45</v>
      </c>
      <c r="I16" s="58" t="s">
        <v>45</v>
      </c>
      <c r="J16" s="58" t="s">
        <v>45</v>
      </c>
      <c r="K16" s="58" t="s">
        <v>45</v>
      </c>
      <c r="L16" s="58" t="s">
        <v>45</v>
      </c>
    </row>
    <row r="17" spans="2:12" ht="3" customHeight="1" x14ac:dyDescent="0.2">
      <c r="B17" s="9" t="s">
        <v>36</v>
      </c>
      <c r="C17" s="109"/>
      <c r="D17" s="47"/>
      <c r="E17" s="48"/>
      <c r="F17" s="48"/>
      <c r="G17" s="48"/>
      <c r="H17" s="48"/>
      <c r="I17" s="48"/>
      <c r="J17" s="48"/>
      <c r="K17" s="49"/>
      <c r="L17" s="49"/>
    </row>
    <row r="18" spans="2:12" ht="20" customHeight="1" x14ac:dyDescent="0.2">
      <c r="B18" s="9" t="s">
        <v>46</v>
      </c>
      <c r="C18" s="109"/>
      <c r="D18" s="115" t="s">
        <v>47</v>
      </c>
      <c r="E18" s="43" t="s">
        <v>30</v>
      </c>
      <c r="F18" s="76"/>
      <c r="G18" s="44" t="s">
        <v>23</v>
      </c>
      <c r="H18" s="85" t="s">
        <v>38</v>
      </c>
      <c r="I18" s="44" t="s">
        <v>16</v>
      </c>
      <c r="J18" s="44" t="s">
        <v>23</v>
      </c>
      <c r="K18" s="44" t="s">
        <v>16</v>
      </c>
      <c r="L18" s="51"/>
    </row>
    <row r="19" spans="2:12" ht="20" customHeight="1" x14ac:dyDescent="0.2">
      <c r="B19" s="9" t="s">
        <v>48</v>
      </c>
      <c r="C19" s="109"/>
      <c r="D19" s="116"/>
      <c r="E19" s="45" t="s">
        <v>34</v>
      </c>
      <c r="F19" s="50"/>
      <c r="G19" s="46" t="s">
        <v>23</v>
      </c>
      <c r="H19" s="46" t="s">
        <v>14</v>
      </c>
      <c r="I19" s="46" t="s">
        <v>27</v>
      </c>
      <c r="J19" s="46" t="s">
        <v>23</v>
      </c>
      <c r="K19" s="50"/>
      <c r="L19" s="52"/>
    </row>
    <row r="20" spans="2:12" ht="20" customHeight="1" x14ac:dyDescent="0.2">
      <c r="B20" s="9" t="s">
        <v>49</v>
      </c>
      <c r="C20" s="109"/>
      <c r="D20" s="117" t="s">
        <v>50</v>
      </c>
      <c r="E20" s="43" t="s">
        <v>30</v>
      </c>
      <c r="F20" s="76"/>
      <c r="G20" s="76"/>
      <c r="H20" s="76"/>
      <c r="I20" s="76"/>
      <c r="J20" s="76"/>
      <c r="K20" s="76"/>
      <c r="L20" s="51"/>
    </row>
    <row r="21" spans="2:12" ht="20" customHeight="1" x14ac:dyDescent="0.2">
      <c r="B21" s="9" t="s">
        <v>22</v>
      </c>
      <c r="C21" s="110"/>
      <c r="D21" s="118"/>
      <c r="E21" s="45" t="s">
        <v>34</v>
      </c>
      <c r="F21" s="50"/>
      <c r="G21" s="50"/>
      <c r="H21" s="50"/>
      <c r="I21" s="50"/>
      <c r="J21" s="50"/>
      <c r="K21" s="50"/>
      <c r="L21" s="52"/>
    </row>
    <row r="22" spans="2:12" ht="3" customHeight="1" x14ac:dyDescent="0.3">
      <c r="B22" s="9" t="s">
        <v>18</v>
      </c>
      <c r="C22" s="55"/>
      <c r="D22" s="47"/>
      <c r="E22" s="48"/>
      <c r="F22" s="48"/>
      <c r="G22" s="48"/>
      <c r="H22" s="48"/>
      <c r="I22" s="48"/>
      <c r="J22" s="48"/>
      <c r="K22" s="49"/>
      <c r="L22" s="49"/>
    </row>
    <row r="23" spans="2:12" ht="20" customHeight="1" x14ac:dyDescent="0.2">
      <c r="B23" s="9" t="s">
        <v>7</v>
      </c>
      <c r="C23" s="121" t="s">
        <v>51</v>
      </c>
      <c r="D23" s="126" t="s">
        <v>52</v>
      </c>
      <c r="E23" s="65" t="s">
        <v>30</v>
      </c>
      <c r="F23" s="81"/>
      <c r="G23" s="62" t="s">
        <v>18</v>
      </c>
      <c r="H23" s="62" t="s">
        <v>23</v>
      </c>
      <c r="I23" s="62" t="s">
        <v>36</v>
      </c>
      <c r="J23" s="62" t="s">
        <v>16</v>
      </c>
      <c r="K23" s="44" t="s">
        <v>38</v>
      </c>
      <c r="L23" s="60"/>
    </row>
    <row r="24" spans="2:12" ht="20" customHeight="1" x14ac:dyDescent="0.2">
      <c r="C24" s="122"/>
      <c r="D24" s="127"/>
      <c r="E24" s="69" t="s">
        <v>53</v>
      </c>
      <c r="F24" s="50"/>
      <c r="G24" s="50"/>
      <c r="H24" s="79" t="s">
        <v>54</v>
      </c>
      <c r="I24" s="50"/>
      <c r="J24" s="50"/>
      <c r="K24" s="79" t="s">
        <v>54</v>
      </c>
      <c r="L24" s="77"/>
    </row>
    <row r="25" spans="2:12" ht="3" customHeight="1" x14ac:dyDescent="0.2">
      <c r="B25" s="9" t="s">
        <v>55</v>
      </c>
      <c r="C25" s="122"/>
      <c r="D25" s="66"/>
      <c r="E25" s="67"/>
      <c r="F25" s="48"/>
      <c r="G25" s="49"/>
      <c r="H25" s="49"/>
      <c r="I25" s="49"/>
      <c r="J25" s="49"/>
      <c r="K25" s="49"/>
      <c r="L25" s="49"/>
    </row>
    <row r="26" spans="2:12" ht="20" customHeight="1" x14ac:dyDescent="0.2">
      <c r="B26" s="9" t="s">
        <v>15</v>
      </c>
      <c r="C26" s="122"/>
      <c r="D26" s="119" t="s">
        <v>56</v>
      </c>
      <c r="E26" s="68" t="s">
        <v>30</v>
      </c>
      <c r="F26" s="70"/>
      <c r="G26" s="61"/>
      <c r="H26" s="61"/>
      <c r="I26" s="61"/>
      <c r="J26" s="61"/>
      <c r="K26" s="71" t="s">
        <v>14</v>
      </c>
      <c r="L26" s="60"/>
    </row>
    <row r="27" spans="2:12" ht="20" customHeight="1" x14ac:dyDescent="0.2">
      <c r="B27" s="9" t="s">
        <v>23</v>
      </c>
      <c r="C27" s="122"/>
      <c r="D27" s="119"/>
      <c r="E27" s="65" t="s">
        <v>57</v>
      </c>
      <c r="F27" s="81"/>
      <c r="G27" s="62" t="s">
        <v>38</v>
      </c>
      <c r="H27" s="62" t="s">
        <v>33</v>
      </c>
      <c r="I27" s="62" t="s">
        <v>17</v>
      </c>
      <c r="J27" s="71" t="s">
        <v>38</v>
      </c>
      <c r="K27" s="76"/>
      <c r="L27" s="51"/>
    </row>
    <row r="28" spans="2:12" ht="20" customHeight="1" x14ac:dyDescent="0.2">
      <c r="B28" s="9" t="s">
        <v>14</v>
      </c>
      <c r="C28" s="122"/>
      <c r="D28" s="120"/>
      <c r="E28" s="69" t="s">
        <v>53</v>
      </c>
      <c r="F28" s="82"/>
      <c r="G28" s="64" t="s">
        <v>38</v>
      </c>
      <c r="H28" s="64" t="s">
        <v>33</v>
      </c>
      <c r="I28" s="64" t="s">
        <v>17</v>
      </c>
      <c r="J28" s="74" t="s">
        <v>38</v>
      </c>
      <c r="K28" s="50"/>
      <c r="L28" s="52"/>
    </row>
    <row r="29" spans="2:12" ht="20" customHeight="1" x14ac:dyDescent="0.2">
      <c r="B29" s="9" t="s">
        <v>16</v>
      </c>
      <c r="C29" s="122"/>
      <c r="D29" s="120" t="s">
        <v>58</v>
      </c>
      <c r="E29" s="72" t="s">
        <v>30</v>
      </c>
      <c r="F29" s="61"/>
      <c r="G29" s="61"/>
      <c r="H29" s="61"/>
      <c r="I29" s="61"/>
      <c r="J29" s="61"/>
      <c r="K29" s="61"/>
      <c r="L29" s="60"/>
    </row>
    <row r="30" spans="2:12" ht="20" customHeight="1" x14ac:dyDescent="0.2">
      <c r="B30" s="9" t="s">
        <v>17</v>
      </c>
      <c r="C30" s="122"/>
      <c r="D30" s="124"/>
      <c r="E30" s="73" t="s">
        <v>57</v>
      </c>
      <c r="F30" s="80"/>
      <c r="G30" s="76"/>
      <c r="H30" s="76"/>
      <c r="I30" s="76"/>
      <c r="J30" s="76"/>
      <c r="K30" s="76"/>
      <c r="L30" s="51"/>
    </row>
    <row r="31" spans="2:12" ht="20" customHeight="1" x14ac:dyDescent="0.2">
      <c r="B31" s="9" t="s">
        <v>38</v>
      </c>
      <c r="C31" s="123"/>
      <c r="D31" s="125"/>
      <c r="E31" s="73" t="s">
        <v>53</v>
      </c>
      <c r="F31" s="83"/>
      <c r="G31" s="50"/>
      <c r="H31" s="50"/>
      <c r="I31" s="50"/>
      <c r="J31" s="79" t="s">
        <v>54</v>
      </c>
      <c r="K31" s="50"/>
      <c r="L31" s="52"/>
    </row>
    <row r="32" spans="2:12" x14ac:dyDescent="0.3">
      <c r="B32" s="9" t="s">
        <v>19</v>
      </c>
    </row>
    <row r="33" spans="1:12" ht="15" x14ac:dyDescent="0.2">
      <c r="B33" s="9" t="s">
        <v>54</v>
      </c>
      <c r="C33" s="111" t="s">
        <v>59</v>
      </c>
      <c r="D33" s="112"/>
      <c r="E33" s="113"/>
      <c r="F33" s="56" t="s">
        <v>31</v>
      </c>
      <c r="G33" s="56" t="s">
        <v>10</v>
      </c>
      <c r="H33" s="56" t="s">
        <v>10</v>
      </c>
      <c r="I33" s="56" t="s">
        <v>10</v>
      </c>
      <c r="J33" s="56" t="s">
        <v>10</v>
      </c>
      <c r="K33" s="56" t="s">
        <v>10</v>
      </c>
      <c r="L33" s="56" t="s">
        <v>10</v>
      </c>
    </row>
    <row r="34" spans="1:12" ht="15" x14ac:dyDescent="0.2">
      <c r="B34" s="9" t="s">
        <v>60</v>
      </c>
      <c r="C34" s="114" t="s">
        <v>61</v>
      </c>
      <c r="D34" s="114"/>
      <c r="E34" s="111"/>
      <c r="F34" s="56" t="s">
        <v>48</v>
      </c>
      <c r="G34" s="56" t="s">
        <v>24</v>
      </c>
      <c r="H34" s="56" t="s">
        <v>24</v>
      </c>
      <c r="I34" s="56" t="s">
        <v>24</v>
      </c>
      <c r="J34" s="56" t="s">
        <v>24</v>
      </c>
      <c r="K34" s="56" t="s">
        <v>24</v>
      </c>
      <c r="L34" s="56" t="s">
        <v>24</v>
      </c>
    </row>
    <row r="35" spans="1:12" x14ac:dyDescent="0.3">
      <c r="A35" s="14"/>
      <c r="B35" s="9" t="s">
        <v>43</v>
      </c>
    </row>
    <row r="36" spans="1:12" x14ac:dyDescent="0.3">
      <c r="B36" s="9" t="s">
        <v>45</v>
      </c>
    </row>
    <row r="37" spans="1:12" x14ac:dyDescent="0.3">
      <c r="B37" s="9" t="s">
        <v>62</v>
      </c>
    </row>
  </sheetData>
  <mergeCells count="16">
    <mergeCell ref="D11:D12"/>
    <mergeCell ref="D13:D15"/>
    <mergeCell ref="C7:C21"/>
    <mergeCell ref="C33:E33"/>
    <mergeCell ref="C34:E34"/>
    <mergeCell ref="D18:D19"/>
    <mergeCell ref="D20:D21"/>
    <mergeCell ref="D26:D28"/>
    <mergeCell ref="C23:C31"/>
    <mergeCell ref="D29:D31"/>
    <mergeCell ref="D23:D24"/>
    <mergeCell ref="C1:E2"/>
    <mergeCell ref="C3:C5"/>
    <mergeCell ref="D3:D5"/>
    <mergeCell ref="D7:D8"/>
    <mergeCell ref="D9:D10"/>
  </mergeCells>
  <phoneticPr fontId="32" type="noConversion"/>
  <conditionalFormatting sqref="B32:B33 A32:A34 A1:B31">
    <cfRule type="duplicateValues" dxfId="13" priority="58"/>
  </conditionalFormatting>
  <dataValidations count="1">
    <dataValidation type="list" allowBlank="1" showInputMessage="1" showErrorMessage="1" sqref="F18:L21 F23:L24 F16:L16 F7:L14 F3:L5 F26:L31 F33:L34" xr:uid="{C45F920C-A2D0-45D1-AE5D-3F3E386673BA}">
      <formula1>$B:$B</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0C70-DEC5-4AC7-AF71-A106529F1F94}">
  <sheetPr>
    <tabColor rgb="FFF788AB"/>
    <pageSetUpPr fitToPage="1"/>
  </sheetPr>
  <dimension ref="A1:I67"/>
  <sheetViews>
    <sheetView showGridLines="0" topLeftCell="A19" workbookViewId="0">
      <selection activeCell="C37" sqref="C37:E43"/>
    </sheetView>
  </sheetViews>
  <sheetFormatPr baseColWidth="10" defaultColWidth="9.1640625" defaultRowHeight="14" x14ac:dyDescent="0.2"/>
  <cols>
    <col min="1" max="1" width="12.5" style="9" customWidth="1"/>
    <col min="2" max="2" width="9.1640625" style="9"/>
    <col min="3" max="3" width="23.1640625" style="10" bestFit="1" customWidth="1"/>
    <col min="4" max="4" width="30.33203125" style="10" customWidth="1"/>
    <col min="5" max="5" width="68" style="10" bestFit="1" customWidth="1"/>
    <col min="6" max="6" width="42.33203125" style="10" customWidth="1"/>
    <col min="7" max="7" width="38.83203125" style="10" customWidth="1"/>
    <col min="8" max="16384" width="9.1640625" style="10"/>
  </cols>
  <sheetData>
    <row r="1" spans="1:7" ht="14.25" customHeight="1" x14ac:dyDescent="0.2">
      <c r="A1" s="9" t="s">
        <v>8</v>
      </c>
    </row>
    <row r="2" spans="1:7" ht="14.25" customHeight="1" x14ac:dyDescent="0.2">
      <c r="A2" s="9" t="s">
        <v>9</v>
      </c>
      <c r="F2" s="11"/>
      <c r="G2" s="11"/>
    </row>
    <row r="3" spans="1:7" ht="32" x14ac:dyDescent="0.4">
      <c r="A3" s="9" t="s">
        <v>10</v>
      </c>
      <c r="C3" s="132" t="s">
        <v>63</v>
      </c>
      <c r="D3" s="132"/>
      <c r="E3" s="132"/>
      <c r="F3" s="11"/>
      <c r="G3" s="11"/>
    </row>
    <row r="4" spans="1:7" ht="14.25" customHeight="1" x14ac:dyDescent="0.2">
      <c r="E4" s="12"/>
      <c r="F4" s="11"/>
      <c r="G4" s="11"/>
    </row>
    <row r="5" spans="1:7" ht="21" customHeight="1" x14ac:dyDescent="0.2">
      <c r="C5" s="131">
        <v>46307</v>
      </c>
      <c r="D5" s="131"/>
      <c r="E5" s="131"/>
      <c r="F5" s="11"/>
      <c r="G5" s="11"/>
    </row>
    <row r="6" spans="1:7" s="11" customFormat="1" ht="15" customHeight="1" x14ac:dyDescent="0.2">
      <c r="A6" s="9"/>
      <c r="B6" s="9"/>
      <c r="C6" s="29" t="s">
        <v>64</v>
      </c>
      <c r="D6" s="29" t="s">
        <v>9</v>
      </c>
      <c r="E6" s="29" t="s">
        <v>65</v>
      </c>
    </row>
    <row r="7" spans="1:7" s="11" customFormat="1" ht="15" x14ac:dyDescent="0.2">
      <c r="A7" s="9"/>
      <c r="B7" s="9"/>
      <c r="C7" s="16" t="s">
        <v>30</v>
      </c>
      <c r="D7" s="16" t="s">
        <v>9</v>
      </c>
      <c r="E7" s="16"/>
    </row>
    <row r="8" spans="1:7" s="11" customFormat="1" ht="15" customHeight="1" x14ac:dyDescent="0.2">
      <c r="A8" s="9"/>
      <c r="B8" s="9"/>
      <c r="C8" s="29" t="s">
        <v>66</v>
      </c>
      <c r="D8" s="29" t="s">
        <v>9</v>
      </c>
      <c r="E8" s="29" t="s">
        <v>65</v>
      </c>
    </row>
    <row r="9" spans="1:7" s="11" customFormat="1" ht="15" x14ac:dyDescent="0.2">
      <c r="A9" s="9"/>
      <c r="B9" s="9"/>
      <c r="C9" s="29"/>
      <c r="D9" s="29"/>
      <c r="E9" s="29"/>
      <c r="F9" s="15"/>
      <c r="G9" s="15"/>
    </row>
    <row r="10" spans="1:7" s="11" customFormat="1" ht="15" x14ac:dyDescent="0.2">
      <c r="A10" s="9"/>
      <c r="B10" s="9"/>
      <c r="C10" s="29"/>
      <c r="D10" s="29"/>
      <c r="E10" s="29"/>
      <c r="F10" s="15"/>
      <c r="G10" s="15"/>
    </row>
    <row r="11" spans="1:7" s="11" customFormat="1" ht="15" x14ac:dyDescent="0.2">
      <c r="A11" s="9"/>
      <c r="B11" s="9"/>
      <c r="C11" s="29"/>
      <c r="D11" s="29"/>
      <c r="E11" s="29"/>
      <c r="F11" s="15"/>
      <c r="G11" s="15"/>
    </row>
    <row r="12" spans="1:7" s="11" customFormat="1" ht="15" x14ac:dyDescent="0.2">
      <c r="A12" s="9"/>
      <c r="B12" s="9"/>
      <c r="C12" s="18"/>
      <c r="D12" s="18"/>
      <c r="E12" s="18"/>
    </row>
    <row r="13" spans="1:7" s="11" customFormat="1" ht="15" x14ac:dyDescent="0.2">
      <c r="A13" s="9"/>
      <c r="B13" s="9"/>
      <c r="C13" s="131">
        <f>+C5+1</f>
        <v>46308</v>
      </c>
      <c r="D13" s="131"/>
      <c r="E13" s="131"/>
    </row>
    <row r="14" spans="1:7" s="11" customFormat="1" ht="15" customHeight="1" x14ac:dyDescent="0.2">
      <c r="A14" s="9"/>
      <c r="B14" s="9"/>
      <c r="C14" s="29" t="s">
        <v>64</v>
      </c>
      <c r="D14" s="29" t="s">
        <v>9</v>
      </c>
      <c r="E14" s="29" t="s">
        <v>65</v>
      </c>
    </row>
    <row r="15" spans="1:7" s="11" customFormat="1" ht="15" x14ac:dyDescent="0.2">
      <c r="A15" s="9"/>
      <c r="B15" s="9"/>
      <c r="C15" s="16" t="s">
        <v>30</v>
      </c>
      <c r="D15" s="16" t="s">
        <v>9</v>
      </c>
      <c r="E15" s="16"/>
    </row>
    <row r="16" spans="1:7" s="11" customFormat="1" ht="15" customHeight="1" x14ac:dyDescent="0.2">
      <c r="A16" s="9"/>
      <c r="B16" s="9"/>
      <c r="C16" s="16" t="s">
        <v>34</v>
      </c>
      <c r="D16" s="16" t="s">
        <v>8</v>
      </c>
      <c r="E16" s="16"/>
    </row>
    <row r="17" spans="1:8" s="11" customFormat="1" ht="15" x14ac:dyDescent="0.2">
      <c r="A17" s="9"/>
      <c r="B17" s="9"/>
      <c r="C17" s="16" t="s">
        <v>30</v>
      </c>
      <c r="D17" s="63"/>
      <c r="E17" s="31" t="s">
        <v>67</v>
      </c>
      <c r="F17" s="15"/>
      <c r="G17" s="15"/>
    </row>
    <row r="18" spans="1:8" s="11" customFormat="1" ht="15" x14ac:dyDescent="0.2">
      <c r="A18" s="9"/>
      <c r="B18" s="9"/>
      <c r="C18" s="84" t="s">
        <v>21</v>
      </c>
      <c r="D18" s="16" t="s">
        <v>10</v>
      </c>
      <c r="E18" s="31" t="s">
        <v>67</v>
      </c>
      <c r="F18" s="15"/>
      <c r="G18" s="15"/>
    </row>
    <row r="19" spans="1:8" s="11" customFormat="1" ht="15" x14ac:dyDescent="0.2">
      <c r="A19" s="9"/>
      <c r="B19" s="9"/>
      <c r="C19" s="29" t="s">
        <v>68</v>
      </c>
      <c r="D19" s="29" t="s">
        <v>10</v>
      </c>
      <c r="E19" s="29" t="s">
        <v>65</v>
      </c>
      <c r="F19" s="15"/>
      <c r="G19" s="15"/>
    </row>
    <row r="20" spans="1:8" s="11" customFormat="1" ht="15" x14ac:dyDescent="0.2">
      <c r="A20" s="9"/>
      <c r="B20" s="9"/>
      <c r="C20" s="19"/>
      <c r="D20" s="19"/>
      <c r="E20" s="19"/>
      <c r="F20" s="15"/>
      <c r="G20" s="15"/>
    </row>
    <row r="21" spans="1:8" s="11" customFormat="1" ht="15" x14ac:dyDescent="0.2">
      <c r="A21" s="9"/>
      <c r="B21" s="9"/>
      <c r="C21" s="128">
        <f>+C13+1</f>
        <v>46309</v>
      </c>
      <c r="D21" s="128"/>
      <c r="E21" s="128"/>
    </row>
    <row r="22" spans="1:8" s="11" customFormat="1" ht="15" customHeight="1" x14ac:dyDescent="0.2">
      <c r="A22" s="9"/>
      <c r="B22" s="9"/>
      <c r="C22" s="29" t="s">
        <v>64</v>
      </c>
      <c r="D22" s="29" t="s">
        <v>10</v>
      </c>
      <c r="E22" s="29" t="s">
        <v>65</v>
      </c>
    </row>
    <row r="23" spans="1:8" s="11" customFormat="1" ht="15" x14ac:dyDescent="0.2">
      <c r="A23" s="9"/>
      <c r="B23" s="9"/>
      <c r="C23" s="16" t="s">
        <v>30</v>
      </c>
      <c r="D23" s="16" t="s">
        <v>8</v>
      </c>
      <c r="E23" s="16"/>
    </row>
    <row r="24" spans="1:8" s="11" customFormat="1" ht="15" customHeight="1" x14ac:dyDescent="0.2">
      <c r="A24" s="9"/>
      <c r="B24" s="9"/>
      <c r="C24" s="16" t="s">
        <v>34</v>
      </c>
      <c r="D24" s="16" t="s">
        <v>9</v>
      </c>
      <c r="E24" s="16"/>
      <c r="F24" s="15"/>
      <c r="G24" s="15"/>
      <c r="H24" s="15"/>
    </row>
    <row r="25" spans="1:8" s="11" customFormat="1" ht="15" x14ac:dyDescent="0.2">
      <c r="A25" s="9"/>
      <c r="B25" s="9"/>
      <c r="C25" s="16" t="s">
        <v>30</v>
      </c>
      <c r="D25" s="63"/>
      <c r="E25" s="31" t="s">
        <v>67</v>
      </c>
      <c r="F25" s="15"/>
      <c r="G25" s="15"/>
      <c r="H25" s="15"/>
    </row>
    <row r="26" spans="1:8" s="11" customFormat="1" ht="15" x14ac:dyDescent="0.2">
      <c r="A26" s="9"/>
      <c r="B26" s="9"/>
      <c r="C26" s="84" t="s">
        <v>21</v>
      </c>
      <c r="D26" s="16" t="s">
        <v>10</v>
      </c>
      <c r="E26" s="31" t="s">
        <v>67</v>
      </c>
      <c r="F26" s="15"/>
      <c r="G26" s="15"/>
      <c r="H26" s="15"/>
    </row>
    <row r="27" spans="1:8" s="11" customFormat="1" ht="15" x14ac:dyDescent="0.2">
      <c r="A27" s="9"/>
      <c r="B27" s="9"/>
      <c r="C27" s="29" t="s">
        <v>68</v>
      </c>
      <c r="D27" s="29" t="s">
        <v>10</v>
      </c>
      <c r="E27" s="29" t="s">
        <v>65</v>
      </c>
      <c r="F27" s="15"/>
      <c r="G27" s="15"/>
      <c r="H27" s="15"/>
    </row>
    <row r="28" spans="1:8" s="11" customFormat="1" ht="15" x14ac:dyDescent="0.2">
      <c r="A28" s="9"/>
      <c r="B28" s="9"/>
      <c r="C28" s="19"/>
      <c r="D28" s="19"/>
      <c r="E28" s="19"/>
    </row>
    <row r="29" spans="1:8" s="11" customFormat="1" ht="15" x14ac:dyDescent="0.2">
      <c r="A29" s="9"/>
      <c r="B29" s="9"/>
      <c r="C29" s="131">
        <f>+C21+1</f>
        <v>46310</v>
      </c>
      <c r="D29" s="131"/>
      <c r="E29" s="131"/>
    </row>
    <row r="30" spans="1:8" s="11" customFormat="1" ht="15" customHeight="1" x14ac:dyDescent="0.2">
      <c r="A30" s="9"/>
      <c r="B30" s="9"/>
      <c r="C30" s="29" t="s">
        <v>64</v>
      </c>
      <c r="D30" s="29" t="s">
        <v>10</v>
      </c>
      <c r="E30" s="29" t="s">
        <v>65</v>
      </c>
    </row>
    <row r="31" spans="1:8" s="11" customFormat="1" ht="15" x14ac:dyDescent="0.2">
      <c r="A31" s="9"/>
      <c r="B31" s="9"/>
      <c r="C31" s="16" t="s">
        <v>30</v>
      </c>
      <c r="D31" s="16" t="s">
        <v>8</v>
      </c>
      <c r="E31" s="16"/>
    </row>
    <row r="32" spans="1:8" s="11" customFormat="1" ht="15" customHeight="1" x14ac:dyDescent="0.2">
      <c r="A32" s="9"/>
      <c r="B32" s="9"/>
      <c r="C32" s="16" t="s">
        <v>34</v>
      </c>
      <c r="D32" s="16" t="s">
        <v>9</v>
      </c>
      <c r="E32" s="16"/>
      <c r="F32" s="15"/>
      <c r="G32" s="15"/>
      <c r="H32" s="15"/>
    </row>
    <row r="33" spans="1:9" s="11" customFormat="1" ht="15" x14ac:dyDescent="0.2">
      <c r="A33" s="9"/>
      <c r="B33" s="9"/>
      <c r="C33" s="16" t="s">
        <v>30</v>
      </c>
      <c r="D33" s="63"/>
      <c r="E33" s="31" t="s">
        <v>67</v>
      </c>
      <c r="F33" s="15"/>
      <c r="G33" s="15"/>
      <c r="H33" s="15"/>
    </row>
    <row r="34" spans="1:9" s="11" customFormat="1" ht="15" x14ac:dyDescent="0.2">
      <c r="A34" s="9"/>
      <c r="B34" s="9"/>
      <c r="C34" s="84" t="s">
        <v>21</v>
      </c>
      <c r="D34" s="16" t="s">
        <v>10</v>
      </c>
      <c r="E34" s="31" t="s">
        <v>67</v>
      </c>
      <c r="F34" s="15"/>
      <c r="G34" s="15"/>
      <c r="H34" s="15"/>
    </row>
    <row r="35" spans="1:9" s="11" customFormat="1" ht="15" x14ac:dyDescent="0.2">
      <c r="A35" s="9"/>
      <c r="B35" s="9"/>
      <c r="C35" s="29" t="s">
        <v>68</v>
      </c>
      <c r="D35" s="29" t="s">
        <v>10</v>
      </c>
      <c r="E35" s="29" t="s">
        <v>65</v>
      </c>
      <c r="F35" s="15"/>
      <c r="G35" s="15"/>
      <c r="H35" s="15"/>
    </row>
    <row r="36" spans="1:9" s="11" customFormat="1" ht="15" x14ac:dyDescent="0.2">
      <c r="A36" s="9"/>
      <c r="B36" s="9"/>
      <c r="C36" s="18"/>
      <c r="D36" s="18"/>
      <c r="E36" s="18"/>
    </row>
    <row r="37" spans="1:9" s="11" customFormat="1" ht="15" x14ac:dyDescent="0.2">
      <c r="A37" s="9"/>
      <c r="B37" s="9"/>
      <c r="C37" s="131">
        <f>+C29+1</f>
        <v>46311</v>
      </c>
      <c r="D37" s="131"/>
      <c r="E37" s="131"/>
    </row>
    <row r="38" spans="1:9" s="11" customFormat="1" ht="15" customHeight="1" x14ac:dyDescent="0.2">
      <c r="A38" s="9"/>
      <c r="B38" s="9"/>
      <c r="C38" s="29" t="s">
        <v>64</v>
      </c>
      <c r="D38" s="29" t="s">
        <v>10</v>
      </c>
      <c r="E38" s="29" t="s">
        <v>65</v>
      </c>
    </row>
    <row r="39" spans="1:9" s="11" customFormat="1" ht="15" x14ac:dyDescent="0.2">
      <c r="A39" s="9"/>
      <c r="B39" s="9"/>
      <c r="C39" s="16" t="s">
        <v>30</v>
      </c>
      <c r="D39" s="16" t="s">
        <v>9</v>
      </c>
      <c r="E39" s="16"/>
    </row>
    <row r="40" spans="1:9" s="11" customFormat="1" ht="15" customHeight="1" x14ac:dyDescent="0.2">
      <c r="A40" s="9"/>
      <c r="B40" s="9"/>
      <c r="C40" s="16" t="s">
        <v>34</v>
      </c>
      <c r="D40" s="87" t="s">
        <v>9</v>
      </c>
      <c r="E40" s="16"/>
      <c r="F40" s="15"/>
      <c r="G40" s="15"/>
      <c r="H40" s="15"/>
      <c r="I40" s="15"/>
    </row>
    <row r="41" spans="1:9" s="11" customFormat="1" ht="15" x14ac:dyDescent="0.2">
      <c r="A41" s="9"/>
      <c r="B41" s="9"/>
      <c r="C41" s="16" t="s">
        <v>30</v>
      </c>
      <c r="D41" s="63"/>
      <c r="E41" s="31" t="s">
        <v>67</v>
      </c>
      <c r="F41" s="15"/>
      <c r="G41" s="15"/>
      <c r="H41" s="15"/>
      <c r="I41" s="15"/>
    </row>
    <row r="42" spans="1:9" s="11" customFormat="1" ht="15" x14ac:dyDescent="0.2">
      <c r="A42" s="9"/>
      <c r="B42" s="9"/>
      <c r="C42" s="84" t="s">
        <v>21</v>
      </c>
      <c r="D42" s="63"/>
      <c r="E42" s="31" t="s">
        <v>67</v>
      </c>
      <c r="F42" s="15"/>
      <c r="G42" s="15"/>
      <c r="H42" s="15"/>
      <c r="I42" s="15"/>
    </row>
    <row r="43" spans="1:9" s="11" customFormat="1" ht="15" x14ac:dyDescent="0.2">
      <c r="A43" s="9"/>
      <c r="B43" s="9"/>
      <c r="C43" s="29" t="s">
        <v>69</v>
      </c>
      <c r="D43" s="29" t="s">
        <v>10</v>
      </c>
      <c r="E43" s="29" t="s">
        <v>65</v>
      </c>
      <c r="F43" s="15"/>
      <c r="G43" s="15"/>
      <c r="H43" s="15"/>
      <c r="I43" s="15"/>
    </row>
    <row r="44" spans="1:9" s="11" customFormat="1" ht="15" x14ac:dyDescent="0.2">
      <c r="A44" s="9"/>
      <c r="B44" s="9"/>
      <c r="C44" s="19"/>
      <c r="D44" s="19"/>
      <c r="E44" s="19"/>
      <c r="F44" s="15"/>
      <c r="G44" s="15"/>
      <c r="H44" s="15"/>
      <c r="I44" s="15"/>
    </row>
    <row r="45" spans="1:9" s="11" customFormat="1" ht="15" x14ac:dyDescent="0.2">
      <c r="A45" s="9"/>
      <c r="B45" s="9"/>
      <c r="C45" s="128">
        <f>+C37+1</f>
        <v>46312</v>
      </c>
      <c r="D45" s="129"/>
      <c r="E45" s="130"/>
      <c r="F45" s="15"/>
      <c r="G45" s="15"/>
      <c r="H45" s="15"/>
      <c r="I45" s="15"/>
    </row>
    <row r="46" spans="1:9" s="11" customFormat="1" ht="15" x14ac:dyDescent="0.2">
      <c r="A46" s="9"/>
      <c r="B46" s="9"/>
      <c r="C46" s="29" t="s">
        <v>64</v>
      </c>
      <c r="D46" s="29" t="s">
        <v>10</v>
      </c>
      <c r="E46" s="29" t="s">
        <v>65</v>
      </c>
      <c r="F46" s="15"/>
      <c r="G46" s="15"/>
      <c r="H46" s="15"/>
      <c r="I46" s="15"/>
    </row>
    <row r="47" spans="1:9" s="11" customFormat="1" ht="15" x14ac:dyDescent="0.2">
      <c r="A47" s="9"/>
      <c r="B47" s="9"/>
      <c r="C47" s="16" t="s">
        <v>30</v>
      </c>
      <c r="D47" s="16" t="s">
        <v>10</v>
      </c>
      <c r="E47" s="16"/>
      <c r="F47" s="15"/>
      <c r="G47" s="15"/>
    </row>
    <row r="48" spans="1:9" s="11" customFormat="1" ht="15" x14ac:dyDescent="0.2">
      <c r="A48" s="9"/>
      <c r="B48" s="9"/>
      <c r="C48" s="29" t="s">
        <v>66</v>
      </c>
      <c r="D48" s="29" t="s">
        <v>10</v>
      </c>
      <c r="E48" s="29" t="s">
        <v>65</v>
      </c>
    </row>
    <row r="49" spans="1:7" s="11" customFormat="1" ht="15" x14ac:dyDescent="0.2">
      <c r="A49" s="9"/>
      <c r="B49" s="9"/>
      <c r="C49" s="22"/>
      <c r="D49" s="22"/>
      <c r="E49" s="22"/>
    </row>
    <row r="50" spans="1:7" s="11" customFormat="1" ht="15" x14ac:dyDescent="0.2">
      <c r="A50" s="9"/>
      <c r="B50" s="9"/>
      <c r="C50" s="128">
        <f>+C45+1</f>
        <v>46313</v>
      </c>
      <c r="D50" s="129"/>
      <c r="E50" s="130"/>
    </row>
    <row r="51" spans="1:7" s="11" customFormat="1" ht="15" x14ac:dyDescent="0.2">
      <c r="A51" s="9"/>
      <c r="B51" s="9"/>
      <c r="C51" s="29" t="s">
        <v>64</v>
      </c>
      <c r="D51" s="29" t="s">
        <v>10</v>
      </c>
      <c r="E51" s="29" t="s">
        <v>65</v>
      </c>
    </row>
    <row r="52" spans="1:7" s="11" customFormat="1" ht="15" x14ac:dyDescent="0.2">
      <c r="A52" s="9"/>
      <c r="B52" s="9"/>
      <c r="C52" s="16" t="s">
        <v>30</v>
      </c>
      <c r="D52" s="16" t="s">
        <v>10</v>
      </c>
      <c r="E52" s="16"/>
      <c r="F52" s="10"/>
      <c r="G52" s="10"/>
    </row>
    <row r="53" spans="1:7" s="11" customFormat="1" ht="15" x14ac:dyDescent="0.2">
      <c r="A53" s="9"/>
      <c r="B53" s="9"/>
      <c r="C53" s="29" t="s">
        <v>66</v>
      </c>
      <c r="D53" s="29" t="s">
        <v>10</v>
      </c>
      <c r="E53" s="29" t="s">
        <v>65</v>
      </c>
      <c r="F53" s="10"/>
      <c r="G53" s="10"/>
    </row>
    <row r="54" spans="1:7" s="11" customFormat="1" ht="14.25" customHeight="1" x14ac:dyDescent="0.2">
      <c r="A54" s="9"/>
      <c r="B54" s="9"/>
      <c r="C54" s="10"/>
      <c r="D54" s="10"/>
      <c r="E54" s="10"/>
      <c r="F54" s="10"/>
      <c r="G54" s="10"/>
    </row>
    <row r="55" spans="1:7" s="11" customFormat="1" ht="15.75" customHeight="1" x14ac:dyDescent="0.2">
      <c r="A55" s="9"/>
      <c r="B55" s="9"/>
      <c r="C55" s="10"/>
      <c r="D55" s="10"/>
      <c r="E55" s="10"/>
      <c r="F55" s="10"/>
      <c r="G55" s="10"/>
    </row>
    <row r="56" spans="1:7" s="11" customFormat="1" ht="15.75" customHeight="1" x14ac:dyDescent="0.2">
      <c r="A56" s="9"/>
      <c r="B56" s="9"/>
      <c r="C56" s="10"/>
      <c r="D56" s="10"/>
      <c r="E56" s="10"/>
      <c r="F56" s="10"/>
      <c r="G56" s="10"/>
    </row>
    <row r="57" spans="1:7" s="11" customFormat="1" ht="15.75" customHeight="1" x14ac:dyDescent="0.2">
      <c r="A57" s="9"/>
      <c r="B57" s="9"/>
      <c r="C57" s="10"/>
      <c r="D57" s="10"/>
      <c r="E57" s="10"/>
      <c r="F57" s="10"/>
      <c r="G57" s="10"/>
    </row>
    <row r="58" spans="1:7" s="11" customFormat="1" ht="15.75" customHeight="1" x14ac:dyDescent="0.2">
      <c r="A58" s="9"/>
      <c r="B58" s="9"/>
      <c r="C58" s="10"/>
      <c r="D58" s="10"/>
      <c r="E58" s="10"/>
      <c r="F58" s="10"/>
      <c r="G58" s="10"/>
    </row>
    <row r="59" spans="1:7" s="11" customFormat="1" ht="15.75" customHeight="1" x14ac:dyDescent="0.2">
      <c r="A59" s="9"/>
      <c r="B59" s="9"/>
      <c r="C59" s="10"/>
      <c r="D59" s="10"/>
      <c r="E59" s="10"/>
      <c r="F59" s="10"/>
      <c r="G59" s="10"/>
    </row>
    <row r="60" spans="1:7" s="11" customFormat="1" ht="15.75" customHeight="1" x14ac:dyDescent="0.2">
      <c r="A60" s="9"/>
      <c r="B60" s="9"/>
      <c r="C60" s="10"/>
      <c r="D60" s="10"/>
      <c r="E60" s="10"/>
      <c r="F60" s="10"/>
      <c r="G60" s="10"/>
    </row>
    <row r="61" spans="1:7" s="11" customFormat="1" ht="15.75" customHeight="1" x14ac:dyDescent="0.2">
      <c r="A61" s="9"/>
      <c r="B61" s="9"/>
      <c r="C61" s="10"/>
      <c r="D61" s="10"/>
      <c r="E61" s="10"/>
      <c r="F61" s="10"/>
      <c r="G61" s="10"/>
    </row>
    <row r="62" spans="1:7" s="11" customFormat="1" ht="15.75" customHeight="1" x14ac:dyDescent="0.2">
      <c r="A62" s="9"/>
      <c r="B62" s="9"/>
      <c r="C62" s="10"/>
      <c r="D62" s="10"/>
      <c r="E62" s="10"/>
      <c r="F62" s="10"/>
      <c r="G62" s="10"/>
    </row>
    <row r="63" spans="1:7" ht="15.75" customHeight="1" x14ac:dyDescent="0.2"/>
    <row r="64" spans="1:7" ht="14.25" customHeight="1" x14ac:dyDescent="0.2"/>
    <row r="65" ht="14.25" customHeight="1" x14ac:dyDescent="0.2"/>
    <row r="66" ht="14.25" customHeight="1" x14ac:dyDescent="0.2"/>
    <row r="67" ht="14.25" customHeight="1" x14ac:dyDescent="0.2"/>
  </sheetData>
  <mergeCells count="8">
    <mergeCell ref="C50:E50"/>
    <mergeCell ref="C45:E45"/>
    <mergeCell ref="C37:E37"/>
    <mergeCell ref="C3:E3"/>
    <mergeCell ref="C21:E21"/>
    <mergeCell ref="C29:E29"/>
    <mergeCell ref="C5:E5"/>
    <mergeCell ref="C13:E13"/>
  </mergeCells>
  <conditionalFormatting sqref="A1:A3">
    <cfRule type="duplicateValues" dxfId="12" priority="1"/>
  </conditionalFormatting>
  <conditionalFormatting sqref="A7:A12">
    <cfRule type="duplicateValues" dxfId="11" priority="4"/>
  </conditionalFormatting>
  <conditionalFormatting sqref="A15">
    <cfRule type="duplicateValues" dxfId="10" priority="2"/>
  </conditionalFormatting>
  <dataValidations count="1">
    <dataValidation type="list" allowBlank="1" showInputMessage="1" showErrorMessage="1" sqref="D51:D53 D14:D19 D46:D48 D22:D27 D6:D11 D30:D35 D38:D43" xr:uid="{44670BBD-1769-4A44-A7A1-5B487DEE04AC}">
      <formula1>$A$1:$A$27</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FBC3-21D6-4776-98A1-90C3EBC22D0E}">
  <sheetPr>
    <tabColor rgb="FFFFFF00"/>
  </sheetPr>
  <dimension ref="A1:K62"/>
  <sheetViews>
    <sheetView showGridLines="0" workbookViewId="0">
      <selection activeCell="C3" sqref="C3:E3"/>
    </sheetView>
  </sheetViews>
  <sheetFormatPr baseColWidth="10" defaultColWidth="9.1640625" defaultRowHeight="14" x14ac:dyDescent="0.2"/>
  <cols>
    <col min="1" max="1" width="9.1640625" style="9" bestFit="1" customWidth="1"/>
    <col min="2" max="2" width="9.1640625" style="9"/>
    <col min="3" max="3" width="23.1640625" style="10" bestFit="1" customWidth="1"/>
    <col min="4" max="4" width="43.1640625" style="11" customWidth="1"/>
    <col min="5" max="5" width="32" style="10" customWidth="1"/>
    <col min="6" max="6" width="12.5" style="10" customWidth="1"/>
    <col min="7" max="7" width="13.83203125" style="10" customWidth="1"/>
    <col min="8" max="8" width="9.1640625" style="10"/>
    <col min="9" max="9" width="17.5" style="10" customWidth="1"/>
    <col min="10" max="10" width="9.1640625" style="10"/>
    <col min="11" max="11" width="19.5" style="10" bestFit="1" customWidth="1"/>
    <col min="12" max="16384" width="9.1640625" style="10"/>
  </cols>
  <sheetData>
    <row r="1" spans="1:8" x14ac:dyDescent="0.2">
      <c r="A1" s="9" t="s">
        <v>20</v>
      </c>
    </row>
    <row r="2" spans="1:8" x14ac:dyDescent="0.2">
      <c r="A2" s="9" t="s">
        <v>24</v>
      </c>
      <c r="F2" s="13"/>
      <c r="G2" s="13"/>
      <c r="H2" s="13"/>
    </row>
    <row r="3" spans="1:8" ht="32" x14ac:dyDescent="0.4">
      <c r="A3" s="9" t="s">
        <v>70</v>
      </c>
      <c r="C3" s="138" t="s">
        <v>71</v>
      </c>
      <c r="D3" s="139"/>
      <c r="E3" s="139"/>
      <c r="F3" s="13"/>
      <c r="G3" s="13"/>
      <c r="H3" s="13"/>
    </row>
    <row r="4" spans="1:8" x14ac:dyDescent="0.2">
      <c r="F4" s="13"/>
      <c r="G4" s="13"/>
      <c r="H4" s="13"/>
    </row>
    <row r="5" spans="1:8" s="13" customFormat="1" ht="19.5" customHeight="1" x14ac:dyDescent="0.2">
      <c r="A5" s="9"/>
      <c r="C5" s="133">
        <v>46307</v>
      </c>
      <c r="D5" s="136"/>
      <c r="E5" s="135"/>
    </row>
    <row r="6" spans="1:8" s="13" customFormat="1" ht="14.25" customHeight="1" x14ac:dyDescent="0.2">
      <c r="A6" s="9"/>
      <c r="C6" s="29" t="s">
        <v>72</v>
      </c>
      <c r="D6" s="30" t="s">
        <v>70</v>
      </c>
      <c r="E6" s="29" t="s">
        <v>65</v>
      </c>
    </row>
    <row r="7" spans="1:8" s="13" customFormat="1" ht="14.25" customHeight="1" x14ac:dyDescent="0.2">
      <c r="A7" s="9"/>
      <c r="C7" s="16"/>
      <c r="D7" s="20"/>
      <c r="E7" s="16"/>
    </row>
    <row r="8" spans="1:8" s="13" customFormat="1" ht="14.25" customHeight="1" x14ac:dyDescent="0.2">
      <c r="A8" s="9"/>
      <c r="C8" s="29"/>
      <c r="D8" s="30"/>
      <c r="E8" s="29"/>
    </row>
    <row r="9" spans="1:8" s="13" customFormat="1" ht="14.25" customHeight="1" x14ac:dyDescent="0.2">
      <c r="A9" s="9"/>
      <c r="C9" s="29"/>
      <c r="D9" s="30"/>
      <c r="E9" s="29"/>
    </row>
    <row r="10" spans="1:8" s="13" customFormat="1" ht="14.25" customHeight="1" x14ac:dyDescent="0.2">
      <c r="A10" s="9"/>
    </row>
    <row r="11" spans="1:8" s="13" customFormat="1" ht="14.25" customHeight="1" x14ac:dyDescent="0.2">
      <c r="A11" s="9"/>
      <c r="C11" s="133">
        <f>+C5+1</f>
        <v>46308</v>
      </c>
      <c r="D11" s="134"/>
      <c r="E11" s="135"/>
    </row>
    <row r="12" spans="1:8" s="13" customFormat="1" ht="15" x14ac:dyDescent="0.2">
      <c r="A12" s="9"/>
      <c r="C12" s="29" t="s">
        <v>64</v>
      </c>
      <c r="D12" s="30" t="s">
        <v>70</v>
      </c>
      <c r="E12" s="29" t="s">
        <v>65</v>
      </c>
    </row>
    <row r="13" spans="1:8" s="13" customFormat="1" ht="14.25" customHeight="1" x14ac:dyDescent="0.2">
      <c r="A13" s="9"/>
      <c r="C13" s="16" t="s">
        <v>30</v>
      </c>
      <c r="D13" s="20" t="s">
        <v>70</v>
      </c>
      <c r="E13" s="16"/>
    </row>
    <row r="14" spans="1:8" s="13" customFormat="1" ht="14.25" customHeight="1" x14ac:dyDescent="0.2">
      <c r="A14" s="9"/>
      <c r="C14" s="84" t="s">
        <v>73</v>
      </c>
      <c r="D14" s="20" t="s">
        <v>24</v>
      </c>
      <c r="E14" s="16"/>
    </row>
    <row r="15" spans="1:8" s="13" customFormat="1" ht="14.25" customHeight="1" x14ac:dyDescent="0.2">
      <c r="A15" s="9"/>
      <c r="C15" s="29" t="s">
        <v>74</v>
      </c>
      <c r="D15" s="30" t="s">
        <v>24</v>
      </c>
      <c r="E15" s="29" t="s">
        <v>65</v>
      </c>
    </row>
    <row r="16" spans="1:8" s="13" customFormat="1" ht="14.25" customHeight="1" x14ac:dyDescent="0.2">
      <c r="A16" s="9"/>
    </row>
    <row r="17" spans="1:7" s="13" customFormat="1" ht="14.25" customHeight="1" x14ac:dyDescent="0.2">
      <c r="A17" s="9"/>
      <c r="C17" s="133">
        <f>+C11+1</f>
        <v>46309</v>
      </c>
      <c r="D17" s="134"/>
      <c r="E17" s="135"/>
    </row>
    <row r="18" spans="1:7" s="13" customFormat="1" ht="15" x14ac:dyDescent="0.2">
      <c r="A18" s="9"/>
      <c r="C18" s="29" t="s">
        <v>64</v>
      </c>
      <c r="D18" s="30" t="s">
        <v>24</v>
      </c>
      <c r="E18" s="29" t="s">
        <v>65</v>
      </c>
    </row>
    <row r="19" spans="1:7" s="13" customFormat="1" ht="15" x14ac:dyDescent="0.2">
      <c r="A19" s="9"/>
      <c r="C19" s="16" t="s">
        <v>30</v>
      </c>
      <c r="D19" s="20" t="s">
        <v>70</v>
      </c>
      <c r="E19" s="16"/>
    </row>
    <row r="20" spans="1:7" s="13" customFormat="1" ht="15.75" customHeight="1" x14ac:dyDescent="0.2">
      <c r="A20" s="9"/>
      <c r="C20" s="84" t="s">
        <v>73</v>
      </c>
      <c r="D20" s="20" t="s">
        <v>24</v>
      </c>
      <c r="E20" s="16"/>
    </row>
    <row r="21" spans="1:7" s="13" customFormat="1" ht="15.75" customHeight="1" x14ac:dyDescent="0.2">
      <c r="A21" s="9"/>
      <c r="C21" s="29" t="s">
        <v>74</v>
      </c>
      <c r="D21" s="30" t="s">
        <v>24</v>
      </c>
      <c r="E21" s="29" t="s">
        <v>65</v>
      </c>
    </row>
    <row r="22" spans="1:7" s="13" customFormat="1" ht="15.75" customHeight="1" x14ac:dyDescent="0.2">
      <c r="A22" s="9"/>
    </row>
    <row r="23" spans="1:7" s="13" customFormat="1" ht="15.75" customHeight="1" x14ac:dyDescent="0.2">
      <c r="A23" s="14"/>
      <c r="C23" s="133">
        <f>+C17+1</f>
        <v>46310</v>
      </c>
      <c r="D23" s="134"/>
      <c r="E23" s="135"/>
    </row>
    <row r="24" spans="1:7" s="13" customFormat="1" ht="15.75" customHeight="1" x14ac:dyDescent="0.2">
      <c r="A24" s="9"/>
      <c r="C24" s="29" t="s">
        <v>64</v>
      </c>
      <c r="D24" s="30" t="s">
        <v>24</v>
      </c>
      <c r="E24" s="29" t="s">
        <v>65</v>
      </c>
    </row>
    <row r="25" spans="1:7" s="13" customFormat="1" ht="15" x14ac:dyDescent="0.2">
      <c r="A25" s="9"/>
      <c r="C25" s="16" t="s">
        <v>30</v>
      </c>
      <c r="D25" s="20" t="s">
        <v>70</v>
      </c>
      <c r="E25" s="16"/>
    </row>
    <row r="26" spans="1:7" s="13" customFormat="1" ht="15" x14ac:dyDescent="0.2">
      <c r="A26" s="9"/>
      <c r="C26" s="84" t="s">
        <v>73</v>
      </c>
      <c r="D26" s="20" t="s">
        <v>24</v>
      </c>
      <c r="E26" s="16" t="s">
        <v>67</v>
      </c>
    </row>
    <row r="27" spans="1:7" s="13" customFormat="1" ht="15" customHeight="1" x14ac:dyDescent="0.2">
      <c r="A27" s="9"/>
      <c r="C27" s="29" t="s">
        <v>74</v>
      </c>
      <c r="D27" s="30" t="s">
        <v>24</v>
      </c>
      <c r="E27" s="29" t="s">
        <v>65</v>
      </c>
    </row>
    <row r="28" spans="1:7" s="13" customFormat="1" ht="15.75" customHeight="1" x14ac:dyDescent="0.2">
      <c r="A28" s="9"/>
    </row>
    <row r="29" spans="1:7" s="13" customFormat="1" ht="15" x14ac:dyDescent="0.2">
      <c r="A29" s="9"/>
      <c r="C29" s="133">
        <f>+C23+1</f>
        <v>46311</v>
      </c>
      <c r="D29" s="134"/>
      <c r="E29" s="135"/>
    </row>
    <row r="30" spans="1:7" s="13" customFormat="1" ht="15" x14ac:dyDescent="0.2">
      <c r="A30" s="9"/>
      <c r="C30" s="29" t="s">
        <v>64</v>
      </c>
      <c r="D30" s="30" t="s">
        <v>24</v>
      </c>
      <c r="E30" s="29" t="s">
        <v>65</v>
      </c>
    </row>
    <row r="31" spans="1:7" s="13" customFormat="1" ht="15" x14ac:dyDescent="0.2">
      <c r="A31" s="9"/>
      <c r="C31" s="16" t="s">
        <v>30</v>
      </c>
      <c r="D31" s="20" t="s">
        <v>70</v>
      </c>
      <c r="E31" s="16"/>
    </row>
    <row r="32" spans="1:7" s="13" customFormat="1" ht="15" x14ac:dyDescent="0.2">
      <c r="A32" s="9"/>
      <c r="C32" s="84" t="s">
        <v>73</v>
      </c>
      <c r="D32" s="20" t="s">
        <v>24</v>
      </c>
      <c r="E32" s="16"/>
      <c r="G32" s="23"/>
    </row>
    <row r="33" spans="1:11" s="13" customFormat="1" ht="15" x14ac:dyDescent="0.2">
      <c r="A33" s="9"/>
      <c r="C33" s="29" t="s">
        <v>74</v>
      </c>
      <c r="D33" s="30" t="s">
        <v>24</v>
      </c>
      <c r="E33" s="29" t="s">
        <v>65</v>
      </c>
    </row>
    <row r="34" spans="1:11" s="13" customFormat="1" x14ac:dyDescent="0.2">
      <c r="A34" s="9"/>
      <c r="C34" s="10"/>
      <c r="D34" s="10"/>
      <c r="E34" s="10"/>
    </row>
    <row r="35" spans="1:11" s="13" customFormat="1" ht="15.75" customHeight="1" x14ac:dyDescent="0.2">
      <c r="A35" s="9"/>
      <c r="C35" s="133">
        <f>+C29+1</f>
        <v>46312</v>
      </c>
      <c r="D35" s="136"/>
      <c r="E35" s="137"/>
    </row>
    <row r="36" spans="1:11" s="13" customFormat="1" ht="15.75" customHeight="1" x14ac:dyDescent="0.2">
      <c r="A36" s="9"/>
      <c r="C36" s="29" t="s">
        <v>75</v>
      </c>
      <c r="D36" s="30" t="s">
        <v>24</v>
      </c>
      <c r="E36" s="29" t="s">
        <v>65</v>
      </c>
    </row>
    <row r="37" spans="1:11" s="13" customFormat="1" ht="15.75" customHeight="1" x14ac:dyDescent="0.2">
      <c r="A37" s="9"/>
      <c r="C37" s="84" t="s">
        <v>73</v>
      </c>
      <c r="D37" s="20" t="s">
        <v>24</v>
      </c>
      <c r="E37" s="16" t="s">
        <v>67</v>
      </c>
    </row>
    <row r="38" spans="1:11" s="13" customFormat="1" ht="15" x14ac:dyDescent="0.2">
      <c r="A38" s="9"/>
      <c r="C38" s="29" t="s">
        <v>74</v>
      </c>
      <c r="D38" s="30" t="s">
        <v>24</v>
      </c>
      <c r="E38" s="29"/>
    </row>
    <row r="39" spans="1:11" s="13" customFormat="1" ht="15.75" customHeight="1" x14ac:dyDescent="0.2">
      <c r="A39" s="9"/>
      <c r="C39" s="11"/>
      <c r="D39" s="11"/>
      <c r="E39" s="11"/>
    </row>
    <row r="40" spans="1:11" s="13" customFormat="1" ht="15.75" customHeight="1" x14ac:dyDescent="0.2">
      <c r="A40" s="9"/>
      <c r="C40" s="133">
        <f>+C35+1</f>
        <v>46313</v>
      </c>
      <c r="D40" s="136"/>
      <c r="E40" s="137"/>
    </row>
    <row r="41" spans="1:11" s="13" customFormat="1" ht="15.75" customHeight="1" x14ac:dyDescent="0.2">
      <c r="A41" s="9"/>
      <c r="C41" s="29" t="s">
        <v>72</v>
      </c>
      <c r="D41" s="30" t="s">
        <v>24</v>
      </c>
      <c r="E41" s="29" t="s">
        <v>65</v>
      </c>
    </row>
    <row r="42" spans="1:11" s="13" customFormat="1" ht="15" x14ac:dyDescent="0.2">
      <c r="A42" s="9"/>
      <c r="C42" s="16"/>
      <c r="D42" s="20"/>
      <c r="E42" s="16"/>
    </row>
    <row r="43" spans="1:11" s="13" customFormat="1" ht="15" x14ac:dyDescent="0.2">
      <c r="A43" s="9"/>
      <c r="C43" s="29"/>
      <c r="D43" s="30"/>
      <c r="E43" s="29"/>
    </row>
    <row r="44" spans="1:11" s="13" customFormat="1" x14ac:dyDescent="0.2">
      <c r="A44" s="9"/>
      <c r="C44" s="11"/>
      <c r="D44" s="11"/>
      <c r="E44" s="11"/>
    </row>
    <row r="45" spans="1:11" s="11" customFormat="1" x14ac:dyDescent="0.2">
      <c r="A45" s="9"/>
      <c r="B45" s="9"/>
      <c r="F45" s="13"/>
      <c r="G45" s="13"/>
      <c r="J45" s="13"/>
      <c r="K45" s="13"/>
    </row>
    <row r="46" spans="1:11" x14ac:dyDescent="0.2">
      <c r="C46" s="11"/>
      <c r="E46" s="11"/>
      <c r="F46" s="13"/>
      <c r="G46" s="13"/>
    </row>
    <row r="47" spans="1:11" x14ac:dyDescent="0.2">
      <c r="C47" s="11"/>
      <c r="E47" s="11"/>
      <c r="F47" s="13"/>
      <c r="G47" s="13"/>
    </row>
    <row r="48" spans="1:11" x14ac:dyDescent="0.2">
      <c r="C48" s="11"/>
      <c r="E48" s="11"/>
      <c r="F48" s="13"/>
      <c r="G48" s="13"/>
    </row>
    <row r="49" spans="3:8" x14ac:dyDescent="0.2">
      <c r="C49" s="11"/>
      <c r="E49" s="11"/>
      <c r="F49" s="13"/>
      <c r="G49" s="13"/>
    </row>
    <row r="50" spans="3:8" x14ac:dyDescent="0.2">
      <c r="D50" s="10"/>
      <c r="F50" s="13"/>
      <c r="G50" s="13"/>
      <c r="H50" s="11"/>
    </row>
    <row r="51" spans="3:8" x14ac:dyDescent="0.2">
      <c r="D51" s="10"/>
      <c r="F51" s="13"/>
      <c r="G51" s="11"/>
      <c r="H51" s="11"/>
    </row>
    <row r="52" spans="3:8" x14ac:dyDescent="0.2">
      <c r="D52" s="10"/>
      <c r="F52" s="13"/>
      <c r="G52" s="11"/>
      <c r="H52" s="11"/>
    </row>
    <row r="53" spans="3:8" x14ac:dyDescent="0.2">
      <c r="D53" s="10"/>
      <c r="F53" s="13"/>
      <c r="G53" s="11"/>
      <c r="H53" s="11"/>
    </row>
    <row r="54" spans="3:8" x14ac:dyDescent="0.2">
      <c r="D54" s="10"/>
      <c r="F54" s="11"/>
      <c r="G54" s="11"/>
      <c r="H54" s="11"/>
    </row>
    <row r="55" spans="3:8" x14ac:dyDescent="0.2">
      <c r="D55" s="10"/>
      <c r="F55" s="11"/>
      <c r="G55" s="11"/>
      <c r="H55" s="11"/>
    </row>
    <row r="56" spans="3:8" x14ac:dyDescent="0.2">
      <c r="D56" s="10"/>
    </row>
    <row r="57" spans="3:8" x14ac:dyDescent="0.2">
      <c r="D57" s="10"/>
    </row>
    <row r="58" spans="3:8" x14ac:dyDescent="0.2">
      <c r="D58" s="10"/>
    </row>
    <row r="59" spans="3:8" x14ac:dyDescent="0.2">
      <c r="D59" s="10"/>
    </row>
    <row r="60" spans="3:8" x14ac:dyDescent="0.2">
      <c r="D60" s="10"/>
    </row>
    <row r="61" spans="3:8" x14ac:dyDescent="0.2">
      <c r="D61" s="10"/>
    </row>
    <row r="62" spans="3:8" x14ac:dyDescent="0.2">
      <c r="D62" s="10"/>
    </row>
  </sheetData>
  <mergeCells count="8">
    <mergeCell ref="C29:E29"/>
    <mergeCell ref="C35:E35"/>
    <mergeCell ref="C40:E40"/>
    <mergeCell ref="C3:E3"/>
    <mergeCell ref="C17:E17"/>
    <mergeCell ref="C11:E11"/>
    <mergeCell ref="C23:E23"/>
    <mergeCell ref="C5:E5"/>
  </mergeCells>
  <conditionalFormatting sqref="A1:A2">
    <cfRule type="duplicateValues" dxfId="9" priority="1"/>
  </conditionalFormatting>
  <conditionalFormatting sqref="A7:A21 A3:A5">
    <cfRule type="duplicateValues" dxfId="8" priority="42"/>
  </conditionalFormatting>
  <dataValidations count="1">
    <dataValidation type="list" allowBlank="1" showInputMessage="1" showErrorMessage="1" sqref="D24:D27 D18:D21 D6:D9 D41:D43 D12:D15 D36:D38 D30:D33" xr:uid="{922F4768-5B4A-41E6-A40E-84EBC2926807}">
      <formula1>$A$1:$A$41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373DC-3883-4EBA-AB98-7613864F7ECB}">
  <sheetPr>
    <tabColor theme="5" tint="0.59999389629810485"/>
  </sheetPr>
  <dimension ref="A1:H47"/>
  <sheetViews>
    <sheetView showGridLines="0" workbookViewId="0">
      <selection activeCell="D36" sqref="D36"/>
    </sheetView>
  </sheetViews>
  <sheetFormatPr baseColWidth="10" defaultColWidth="9.1640625" defaultRowHeight="14" x14ac:dyDescent="0.2"/>
  <cols>
    <col min="1" max="1" width="9.1640625" style="9"/>
    <col min="2" max="2" width="9.1640625" style="11"/>
    <col min="3" max="3" width="23.1640625" style="10" bestFit="1" customWidth="1"/>
    <col min="4" max="4" width="47.83203125" style="11" customWidth="1"/>
    <col min="5" max="5" width="32" style="10" customWidth="1"/>
    <col min="6" max="16384" width="9.1640625" style="10"/>
  </cols>
  <sheetData>
    <row r="1" spans="1:6" x14ac:dyDescent="0.2">
      <c r="A1" s="9" t="s">
        <v>32</v>
      </c>
    </row>
    <row r="2" spans="1:6" x14ac:dyDescent="0.2">
      <c r="A2" s="9" t="s">
        <v>39</v>
      </c>
    </row>
    <row r="3" spans="1:6" ht="32" x14ac:dyDescent="0.4">
      <c r="A3" s="9" t="s">
        <v>41</v>
      </c>
      <c r="C3" s="91" t="s">
        <v>76</v>
      </c>
      <c r="D3" s="91"/>
      <c r="E3" s="91"/>
      <c r="F3" s="32"/>
    </row>
    <row r="4" spans="1:6" x14ac:dyDescent="0.2">
      <c r="A4" s="9" t="s">
        <v>36</v>
      </c>
    </row>
    <row r="5" spans="1:6" s="11" customFormat="1" ht="18" customHeight="1" x14ac:dyDescent="0.2">
      <c r="A5" s="9" t="s">
        <v>20</v>
      </c>
      <c r="C5" s="92">
        <v>46307</v>
      </c>
      <c r="D5" s="93"/>
      <c r="E5" s="94"/>
    </row>
    <row r="6" spans="1:6" s="11" customFormat="1" ht="15" customHeight="1" x14ac:dyDescent="0.2">
      <c r="A6" s="9"/>
      <c r="C6" s="29" t="s">
        <v>72</v>
      </c>
      <c r="D6" s="29" t="s">
        <v>39</v>
      </c>
      <c r="E6" s="29" t="s">
        <v>65</v>
      </c>
    </row>
    <row r="7" spans="1:6" s="11" customFormat="1" ht="15" customHeight="1" x14ac:dyDescent="0.2">
      <c r="A7" s="9"/>
      <c r="C7" s="16"/>
      <c r="D7" s="16"/>
      <c r="E7" s="16"/>
    </row>
    <row r="8" spans="1:6" s="11" customFormat="1" ht="15" customHeight="1" x14ac:dyDescent="0.2">
      <c r="A8" s="9"/>
      <c r="C8" s="16"/>
      <c r="D8" s="16"/>
      <c r="E8" s="16"/>
    </row>
    <row r="9" spans="1:6" s="11" customFormat="1" ht="15" customHeight="1" x14ac:dyDescent="0.2">
      <c r="A9" s="9"/>
      <c r="C9" s="29"/>
      <c r="D9" s="29"/>
      <c r="E9" s="29"/>
    </row>
    <row r="10" spans="1:6" s="11" customFormat="1" ht="15" customHeight="1" x14ac:dyDescent="0.2">
      <c r="A10" s="9"/>
      <c r="C10" s="13"/>
      <c r="D10" s="13"/>
      <c r="E10" s="13"/>
    </row>
    <row r="11" spans="1:6" s="11" customFormat="1" ht="15" x14ac:dyDescent="0.2">
      <c r="A11" s="9"/>
      <c r="C11" s="88">
        <f>+C5+1</f>
        <v>46308</v>
      </c>
      <c r="D11" s="89"/>
      <c r="E11" s="90"/>
    </row>
    <row r="12" spans="1:6" s="11" customFormat="1" ht="15" x14ac:dyDescent="0.2">
      <c r="A12" s="9"/>
      <c r="C12" s="29" t="s">
        <v>64</v>
      </c>
      <c r="D12" s="29" t="s">
        <v>39</v>
      </c>
      <c r="E12" s="29" t="s">
        <v>65</v>
      </c>
    </row>
    <row r="13" spans="1:6" s="11" customFormat="1" ht="15" x14ac:dyDescent="0.2">
      <c r="A13" s="9"/>
      <c r="C13" s="16" t="s">
        <v>30</v>
      </c>
      <c r="D13" s="16" t="s">
        <v>32</v>
      </c>
      <c r="E13" s="16"/>
    </row>
    <row r="14" spans="1:6" s="11" customFormat="1" ht="15" customHeight="1" x14ac:dyDescent="0.2">
      <c r="A14" s="9"/>
      <c r="C14" s="16" t="s">
        <v>34</v>
      </c>
      <c r="D14" s="16" t="s">
        <v>39</v>
      </c>
      <c r="E14" s="16"/>
    </row>
    <row r="15" spans="1:6" s="11" customFormat="1" ht="15" customHeight="1" x14ac:dyDescent="0.2">
      <c r="A15" s="9"/>
      <c r="C15" s="29" t="s">
        <v>69</v>
      </c>
      <c r="D15" s="29" t="s">
        <v>32</v>
      </c>
      <c r="E15" s="29" t="s">
        <v>65</v>
      </c>
    </row>
    <row r="16" spans="1:6" s="11" customFormat="1" ht="15" customHeight="1" x14ac:dyDescent="0.2">
      <c r="A16" s="9"/>
      <c r="C16" s="13"/>
      <c r="D16" s="13"/>
      <c r="E16" s="13"/>
    </row>
    <row r="17" spans="1:8" s="11" customFormat="1" ht="15" customHeight="1" x14ac:dyDescent="0.2">
      <c r="A17" s="9"/>
      <c r="C17" s="88">
        <f>+C11+1</f>
        <v>46309</v>
      </c>
      <c r="D17" s="89"/>
      <c r="E17" s="90"/>
    </row>
    <row r="18" spans="1:8" s="11" customFormat="1" ht="15" customHeight="1" x14ac:dyDescent="0.2">
      <c r="A18" s="9"/>
      <c r="C18" s="29" t="s">
        <v>64</v>
      </c>
      <c r="D18" s="29" t="s">
        <v>32</v>
      </c>
      <c r="E18" s="29" t="s">
        <v>65</v>
      </c>
    </row>
    <row r="19" spans="1:8" s="11" customFormat="1" ht="15" x14ac:dyDescent="0.2">
      <c r="A19" s="9"/>
      <c r="C19" s="16" t="s">
        <v>30</v>
      </c>
      <c r="D19" s="16" t="s">
        <v>39</v>
      </c>
      <c r="E19" s="16"/>
    </row>
    <row r="20" spans="1:8" s="11" customFormat="1" ht="14.25" customHeight="1" x14ac:dyDescent="0.2">
      <c r="A20" s="9"/>
      <c r="C20" s="16" t="s">
        <v>34</v>
      </c>
      <c r="D20" s="16" t="s">
        <v>36</v>
      </c>
      <c r="E20" s="16"/>
    </row>
    <row r="21" spans="1:8" s="11" customFormat="1" ht="14.25" customHeight="1" x14ac:dyDescent="0.2">
      <c r="A21" s="9"/>
      <c r="C21" s="29" t="s">
        <v>69</v>
      </c>
      <c r="D21" s="29" t="s">
        <v>32</v>
      </c>
      <c r="E21" s="29" t="s">
        <v>65</v>
      </c>
    </row>
    <row r="22" spans="1:8" s="11" customFormat="1" ht="15" customHeight="1" x14ac:dyDescent="0.2">
      <c r="A22" s="9"/>
      <c r="C22" s="13"/>
      <c r="D22" s="13"/>
      <c r="E22" s="13"/>
    </row>
    <row r="23" spans="1:8" s="11" customFormat="1" ht="15" customHeight="1" x14ac:dyDescent="0.2">
      <c r="A23" s="9"/>
      <c r="C23" s="88">
        <f>+C17+1</f>
        <v>46310</v>
      </c>
      <c r="D23" s="89"/>
      <c r="E23" s="90"/>
    </row>
    <row r="24" spans="1:8" s="11" customFormat="1" ht="15" customHeight="1" x14ac:dyDescent="0.2">
      <c r="A24" s="9"/>
      <c r="C24" s="29" t="s">
        <v>64</v>
      </c>
      <c r="D24" s="29" t="s">
        <v>32</v>
      </c>
      <c r="E24" s="29" t="s">
        <v>65</v>
      </c>
    </row>
    <row r="25" spans="1:8" s="11" customFormat="1" ht="15" customHeight="1" x14ac:dyDescent="0.2">
      <c r="A25" s="9"/>
      <c r="C25" s="16" t="s">
        <v>30</v>
      </c>
      <c r="D25" s="16" t="s">
        <v>32</v>
      </c>
      <c r="E25" s="16"/>
    </row>
    <row r="26" spans="1:8" s="11" customFormat="1" ht="15" customHeight="1" x14ac:dyDescent="0.2">
      <c r="A26" s="9"/>
      <c r="C26" s="16" t="s">
        <v>34</v>
      </c>
      <c r="D26" s="16" t="s">
        <v>39</v>
      </c>
      <c r="E26" s="87" t="s">
        <v>67</v>
      </c>
    </row>
    <row r="27" spans="1:8" s="11" customFormat="1" ht="15" x14ac:dyDescent="0.2">
      <c r="A27" s="9"/>
      <c r="C27" s="29" t="s">
        <v>69</v>
      </c>
      <c r="D27" s="29" t="s">
        <v>32</v>
      </c>
      <c r="E27" s="29" t="s">
        <v>65</v>
      </c>
    </row>
    <row r="28" spans="1:8" s="11" customFormat="1" x14ac:dyDescent="0.2">
      <c r="A28" s="9"/>
      <c r="C28" s="13"/>
      <c r="D28" s="13"/>
      <c r="E28" s="13"/>
    </row>
    <row r="29" spans="1:8" s="11" customFormat="1" ht="15" customHeight="1" x14ac:dyDescent="0.2">
      <c r="A29" s="9"/>
      <c r="C29" s="88">
        <f>+C23+1</f>
        <v>46311</v>
      </c>
      <c r="D29" s="89"/>
      <c r="E29" s="90"/>
      <c r="H29" s="13"/>
    </row>
    <row r="30" spans="1:8" s="11" customFormat="1" ht="15" customHeight="1" x14ac:dyDescent="0.2">
      <c r="A30" s="14"/>
      <c r="C30" s="29" t="s">
        <v>64</v>
      </c>
      <c r="D30" s="29" t="s">
        <v>32</v>
      </c>
      <c r="E30" s="29" t="s">
        <v>65</v>
      </c>
      <c r="H30" s="13"/>
    </row>
    <row r="31" spans="1:8" s="11" customFormat="1" ht="15" customHeight="1" x14ac:dyDescent="0.2">
      <c r="A31" s="9"/>
      <c r="C31" s="16" t="s">
        <v>30</v>
      </c>
      <c r="D31" s="16" t="s">
        <v>39</v>
      </c>
      <c r="E31" s="16"/>
      <c r="H31" s="13"/>
    </row>
    <row r="32" spans="1:8" s="11" customFormat="1" ht="15" customHeight="1" x14ac:dyDescent="0.2">
      <c r="A32" s="9"/>
      <c r="C32" s="16" t="s">
        <v>34</v>
      </c>
      <c r="D32" s="16" t="s">
        <v>36</v>
      </c>
      <c r="E32" s="16"/>
      <c r="H32" s="13"/>
    </row>
    <row r="33" spans="1:5" s="11" customFormat="1" ht="15" customHeight="1" x14ac:dyDescent="0.2">
      <c r="A33" s="9"/>
      <c r="C33" s="29" t="s">
        <v>69</v>
      </c>
      <c r="D33" s="29" t="s">
        <v>32</v>
      </c>
      <c r="E33" s="29" t="s">
        <v>65</v>
      </c>
    </row>
    <row r="34" spans="1:5" s="11" customFormat="1" x14ac:dyDescent="0.2">
      <c r="A34" s="9"/>
    </row>
    <row r="35" spans="1:5" s="11" customFormat="1" ht="15" x14ac:dyDescent="0.2">
      <c r="A35" s="9"/>
      <c r="C35" s="88">
        <f>+C29+1</f>
        <v>46312</v>
      </c>
      <c r="D35" s="89"/>
      <c r="E35" s="90"/>
    </row>
    <row r="36" spans="1:5" s="11" customFormat="1" ht="15" x14ac:dyDescent="0.2">
      <c r="A36" s="9"/>
      <c r="C36" s="29" t="s">
        <v>75</v>
      </c>
      <c r="D36" s="29" t="s">
        <v>32</v>
      </c>
      <c r="E36" s="29" t="s">
        <v>65</v>
      </c>
    </row>
    <row r="37" spans="1:5" s="11" customFormat="1" ht="15" x14ac:dyDescent="0.2">
      <c r="A37" s="9"/>
      <c r="C37" s="16" t="s">
        <v>34</v>
      </c>
      <c r="D37" s="16" t="s">
        <v>32</v>
      </c>
      <c r="E37" s="16"/>
    </row>
    <row r="38" spans="1:5" s="11" customFormat="1" ht="15" customHeight="1" x14ac:dyDescent="0.2">
      <c r="A38" s="9"/>
      <c r="C38" s="29" t="s">
        <v>69</v>
      </c>
      <c r="D38" s="29" t="s">
        <v>32</v>
      </c>
      <c r="E38" s="29" t="s">
        <v>65</v>
      </c>
    </row>
    <row r="39" spans="1:5" s="11" customFormat="1" ht="15" x14ac:dyDescent="0.2">
      <c r="A39" s="9"/>
      <c r="C39" s="29"/>
      <c r="D39" s="29"/>
      <c r="E39" s="29"/>
    </row>
    <row r="40" spans="1:5" s="11" customFormat="1" x14ac:dyDescent="0.2">
      <c r="A40" s="9"/>
    </row>
    <row r="41" spans="1:5" s="11" customFormat="1" ht="15" x14ac:dyDescent="0.2">
      <c r="A41" s="9"/>
      <c r="C41" s="88">
        <f>+C35+1</f>
        <v>46313</v>
      </c>
      <c r="D41" s="89"/>
      <c r="E41" s="90"/>
    </row>
    <row r="42" spans="1:5" s="11" customFormat="1" ht="15" x14ac:dyDescent="0.2">
      <c r="A42" s="9"/>
      <c r="C42" s="29" t="s">
        <v>72</v>
      </c>
      <c r="D42" s="29" t="s">
        <v>32</v>
      </c>
      <c r="E42" s="29" t="s">
        <v>65</v>
      </c>
    </row>
    <row r="43" spans="1:5" s="11" customFormat="1" ht="15" x14ac:dyDescent="0.2">
      <c r="A43" s="9"/>
      <c r="C43" s="16"/>
      <c r="D43" s="20"/>
      <c r="E43" s="16"/>
    </row>
    <row r="44" spans="1:5" s="11" customFormat="1" x14ac:dyDescent="0.2">
      <c r="A44" s="9"/>
      <c r="E44" s="10"/>
    </row>
    <row r="45" spans="1:5" s="11" customFormat="1" x14ac:dyDescent="0.2">
      <c r="A45" s="9"/>
      <c r="C45" s="10"/>
      <c r="E45" s="10"/>
    </row>
    <row r="46" spans="1:5" x14ac:dyDescent="0.2">
      <c r="C46" s="11"/>
      <c r="E46" s="11"/>
    </row>
    <row r="47" spans="1:5" x14ac:dyDescent="0.2">
      <c r="C47" s="11"/>
      <c r="E47" s="11"/>
    </row>
  </sheetData>
  <mergeCells count="8">
    <mergeCell ref="C41:E41"/>
    <mergeCell ref="C35:E35"/>
    <mergeCell ref="C3:E3"/>
    <mergeCell ref="C17:E17"/>
    <mergeCell ref="C23:E23"/>
    <mergeCell ref="C29:E29"/>
    <mergeCell ref="C5:E5"/>
    <mergeCell ref="C11:E11"/>
  </mergeCells>
  <conditionalFormatting sqref="A7:A12">
    <cfRule type="duplicateValues" dxfId="7" priority="2"/>
  </conditionalFormatting>
  <conditionalFormatting sqref="A13">
    <cfRule type="duplicateValues" dxfId="6" priority="1"/>
  </conditionalFormatting>
  <conditionalFormatting sqref="A47 A32:A34 A41:A45 A39 A17:A19 A22:A28 A1:A6">
    <cfRule type="duplicateValues" dxfId="5" priority="51"/>
  </conditionalFormatting>
  <dataValidations count="2">
    <dataValidation type="list" allowBlank="1" showInputMessage="1" showErrorMessage="1" sqref="D42 D12:D15 D18:D21 D6:D9 D30:D33 D36:D39 D24:D27" xr:uid="{D8CA4F8F-7B7A-4DAF-AFED-42C195389A9F}">
      <formula1>$A$1:$A$51</formula1>
    </dataValidation>
    <dataValidation type="list" allowBlank="1" showInputMessage="1" showErrorMessage="1" sqref="D43" xr:uid="{2519AB8F-37C4-45BA-B196-85809FAFF785}">
      <formula1>$A$1:$A$42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8646F-D2F8-451C-9420-7DCEE6C2D7CA}">
  <sheetPr>
    <tabColor rgb="FFF2BBCC"/>
  </sheetPr>
  <dimension ref="A1:I38"/>
  <sheetViews>
    <sheetView showGridLines="0" workbookViewId="0">
      <selection activeCell="D18" sqref="D18"/>
    </sheetView>
  </sheetViews>
  <sheetFormatPr baseColWidth="10" defaultColWidth="9.1640625" defaultRowHeight="14" x14ac:dyDescent="0.2"/>
  <cols>
    <col min="1" max="1" width="16" style="9" bestFit="1" customWidth="1"/>
    <col min="2" max="2" width="3.6640625" style="10" customWidth="1"/>
    <col min="3" max="3" width="16.6640625" style="10" customWidth="1"/>
    <col min="4" max="4" width="33.5" style="10" customWidth="1"/>
    <col min="5" max="5" width="73.6640625" style="10" customWidth="1"/>
    <col min="6" max="6" width="9.1640625" style="10"/>
    <col min="7" max="7" width="20.5" style="10" customWidth="1"/>
    <col min="8" max="8" width="42.5" style="10" customWidth="1"/>
    <col min="9" max="16384" width="9.1640625" style="10"/>
  </cols>
  <sheetData>
    <row r="1" spans="1:9" x14ac:dyDescent="0.2">
      <c r="A1" s="9" t="s">
        <v>77</v>
      </c>
    </row>
    <row r="2" spans="1:9" x14ac:dyDescent="0.2">
      <c r="A2" s="9" t="s">
        <v>78</v>
      </c>
    </row>
    <row r="3" spans="1:9" ht="32" x14ac:dyDescent="0.2">
      <c r="A3" s="9" t="s">
        <v>79</v>
      </c>
      <c r="C3" s="149" t="s">
        <v>80</v>
      </c>
      <c r="D3" s="150"/>
      <c r="E3" s="151"/>
      <c r="G3" s="146" t="s">
        <v>81</v>
      </c>
      <c r="H3" s="147"/>
      <c r="I3" s="148"/>
    </row>
    <row r="4" spans="1:9" x14ac:dyDescent="0.2">
      <c r="A4" s="9" t="s">
        <v>6</v>
      </c>
    </row>
    <row r="5" spans="1:9" ht="18" customHeight="1" x14ac:dyDescent="0.2">
      <c r="A5" s="9" t="s">
        <v>26</v>
      </c>
      <c r="C5" s="140">
        <v>46307</v>
      </c>
      <c r="D5" s="141"/>
      <c r="E5" s="142"/>
      <c r="G5" s="143">
        <f>+C5</f>
        <v>46307</v>
      </c>
      <c r="H5" s="144"/>
      <c r="I5" s="145"/>
    </row>
    <row r="6" spans="1:9" ht="15" x14ac:dyDescent="0.2">
      <c r="C6" s="53" t="s">
        <v>65</v>
      </c>
      <c r="D6" s="29" t="s">
        <v>78</v>
      </c>
      <c r="E6" s="53" t="s">
        <v>82</v>
      </c>
      <c r="G6" s="16" t="s">
        <v>83</v>
      </c>
      <c r="H6" s="21" t="s">
        <v>78</v>
      </c>
      <c r="I6" s="25"/>
    </row>
    <row r="7" spans="1:9" ht="15" x14ac:dyDescent="0.2">
      <c r="C7" s="16"/>
      <c r="D7" s="21"/>
      <c r="E7" s="25"/>
      <c r="G7" s="24"/>
      <c r="H7" s="21"/>
      <c r="I7" s="21"/>
    </row>
    <row r="8" spans="1:9" ht="15" x14ac:dyDescent="0.2">
      <c r="C8" s="22"/>
      <c r="D8" s="22"/>
      <c r="E8" s="22"/>
      <c r="G8" s="22"/>
      <c r="H8" s="22"/>
      <c r="I8" s="22"/>
    </row>
    <row r="9" spans="1:9" ht="15" x14ac:dyDescent="0.2">
      <c r="C9" s="140">
        <f>+C5+1</f>
        <v>46308</v>
      </c>
      <c r="D9" s="141"/>
      <c r="E9" s="142"/>
      <c r="G9" s="143">
        <f>+G5+1</f>
        <v>46308</v>
      </c>
      <c r="H9" s="144"/>
      <c r="I9" s="145"/>
    </row>
    <row r="10" spans="1:9" ht="15" x14ac:dyDescent="0.2">
      <c r="C10" s="16" t="s">
        <v>30</v>
      </c>
      <c r="D10" s="21" t="s">
        <v>77</v>
      </c>
      <c r="E10" s="25"/>
      <c r="G10" s="16" t="s">
        <v>83</v>
      </c>
      <c r="H10" s="21" t="s">
        <v>78</v>
      </c>
      <c r="I10" s="25"/>
    </row>
    <row r="11" spans="1:9" ht="15" x14ac:dyDescent="0.2">
      <c r="C11" s="16" t="s">
        <v>34</v>
      </c>
      <c r="D11" s="78"/>
      <c r="E11" s="25"/>
      <c r="G11" s="24"/>
      <c r="H11" s="21"/>
      <c r="I11" s="21"/>
    </row>
    <row r="12" spans="1:9" ht="15" x14ac:dyDescent="0.2">
      <c r="C12" s="22"/>
      <c r="D12" s="22"/>
      <c r="E12" s="22"/>
      <c r="G12" s="22"/>
      <c r="H12" s="22"/>
      <c r="I12" s="22"/>
    </row>
    <row r="13" spans="1:9" ht="15" x14ac:dyDescent="0.2">
      <c r="C13" s="140">
        <f>+C9+1</f>
        <v>46309</v>
      </c>
      <c r="D13" s="141"/>
      <c r="E13" s="142"/>
      <c r="G13" s="143">
        <f>+G9+1</f>
        <v>46309</v>
      </c>
      <c r="H13" s="144"/>
      <c r="I13" s="145"/>
    </row>
    <row r="14" spans="1:9" ht="15" x14ac:dyDescent="0.2">
      <c r="C14" s="16" t="s">
        <v>30</v>
      </c>
      <c r="D14" s="21" t="s">
        <v>77</v>
      </c>
      <c r="E14" s="25"/>
      <c r="G14" s="16" t="s">
        <v>83</v>
      </c>
      <c r="H14" s="21" t="s">
        <v>26</v>
      </c>
      <c r="I14" s="21"/>
    </row>
    <row r="15" spans="1:9" ht="15" x14ac:dyDescent="0.2">
      <c r="C15" s="16" t="s">
        <v>34</v>
      </c>
      <c r="D15" s="78"/>
      <c r="E15" s="25"/>
      <c r="G15" s="25"/>
      <c r="H15" s="21"/>
      <c r="I15" s="21"/>
    </row>
    <row r="16" spans="1:9" ht="15" x14ac:dyDescent="0.2">
      <c r="C16" s="22"/>
      <c r="D16" s="22"/>
      <c r="E16" s="22"/>
      <c r="G16" s="22"/>
      <c r="H16" s="22"/>
      <c r="I16" s="22"/>
    </row>
    <row r="17" spans="1:9" ht="15" x14ac:dyDescent="0.2">
      <c r="C17" s="140">
        <f>+C13+1</f>
        <v>46310</v>
      </c>
      <c r="D17" s="141"/>
      <c r="E17" s="142"/>
      <c r="G17" s="143">
        <f>+G13+1</f>
        <v>46310</v>
      </c>
      <c r="H17" s="144"/>
      <c r="I17" s="145"/>
    </row>
    <row r="18" spans="1:9" ht="15" x14ac:dyDescent="0.2">
      <c r="C18" s="16" t="s">
        <v>30</v>
      </c>
      <c r="D18" s="86" t="s">
        <v>79</v>
      </c>
      <c r="E18" s="25"/>
      <c r="G18" s="16" t="s">
        <v>83</v>
      </c>
      <c r="H18" s="21" t="s">
        <v>26</v>
      </c>
      <c r="I18" s="21"/>
    </row>
    <row r="19" spans="1:9" ht="15" x14ac:dyDescent="0.2">
      <c r="C19" s="16" t="s">
        <v>34</v>
      </c>
      <c r="D19" s="78"/>
      <c r="E19" s="25"/>
      <c r="G19" s="25"/>
      <c r="H19" s="21"/>
      <c r="I19" s="21"/>
    </row>
    <row r="20" spans="1:9" ht="15" x14ac:dyDescent="0.2">
      <c r="C20" s="22"/>
      <c r="D20" s="22"/>
      <c r="E20" s="22"/>
      <c r="G20" s="22"/>
      <c r="H20" s="22"/>
      <c r="I20" s="22"/>
    </row>
    <row r="21" spans="1:9" ht="15" x14ac:dyDescent="0.2">
      <c r="C21" s="140">
        <f>+C17+1</f>
        <v>46311</v>
      </c>
      <c r="D21" s="141"/>
      <c r="E21" s="142"/>
      <c r="G21" s="143">
        <f>+G17+1</f>
        <v>46311</v>
      </c>
      <c r="H21" s="144"/>
      <c r="I21" s="145"/>
    </row>
    <row r="22" spans="1:9" ht="22.5" customHeight="1" x14ac:dyDescent="0.2">
      <c r="C22" s="16" t="s">
        <v>30</v>
      </c>
      <c r="D22" s="78"/>
      <c r="E22" s="152" t="s">
        <v>84</v>
      </c>
      <c r="G22" s="16" t="s">
        <v>83</v>
      </c>
      <c r="H22" s="21" t="s">
        <v>26</v>
      </c>
      <c r="I22" s="21"/>
    </row>
    <row r="23" spans="1:9" ht="22.5" customHeight="1" x14ac:dyDescent="0.2">
      <c r="C23" s="16" t="s">
        <v>34</v>
      </c>
      <c r="D23" s="78"/>
      <c r="E23" s="153"/>
      <c r="G23" s="25"/>
      <c r="H23" s="21"/>
      <c r="I23" s="21"/>
    </row>
    <row r="24" spans="1:9" ht="15" x14ac:dyDescent="0.2">
      <c r="C24" s="22"/>
      <c r="D24" s="22"/>
      <c r="E24" s="22"/>
      <c r="G24" s="22"/>
      <c r="H24" s="22"/>
      <c r="I24" s="22"/>
    </row>
    <row r="25" spans="1:9" ht="15" x14ac:dyDescent="0.2">
      <c r="C25" s="140">
        <f>+C21+1</f>
        <v>46312</v>
      </c>
      <c r="D25" s="141"/>
      <c r="E25" s="142"/>
      <c r="G25" s="143">
        <f>+G21+1</f>
        <v>46312</v>
      </c>
      <c r="H25" s="144"/>
      <c r="I25" s="145"/>
    </row>
    <row r="26" spans="1:9" ht="15" x14ac:dyDescent="0.2">
      <c r="C26" s="53" t="s">
        <v>65</v>
      </c>
      <c r="D26" s="29"/>
      <c r="E26" s="53" t="s">
        <v>82</v>
      </c>
      <c r="G26" s="16" t="s">
        <v>83</v>
      </c>
      <c r="H26" s="21" t="s">
        <v>26</v>
      </c>
      <c r="I26" s="21"/>
    </row>
    <row r="29" spans="1:9" ht="15" x14ac:dyDescent="0.2">
      <c r="A29" s="14"/>
      <c r="C29" s="140">
        <f>+C25+1</f>
        <v>46313</v>
      </c>
      <c r="D29" s="141"/>
      <c r="E29" s="142"/>
    </row>
    <row r="30" spans="1:9" ht="15.75" customHeight="1" x14ac:dyDescent="0.2">
      <c r="C30" s="53" t="s">
        <v>65</v>
      </c>
      <c r="D30" s="29"/>
      <c r="E30" s="53" t="s">
        <v>82</v>
      </c>
    </row>
    <row r="38" ht="13.5" customHeight="1" x14ac:dyDescent="0.2"/>
  </sheetData>
  <mergeCells count="16">
    <mergeCell ref="C29:E29"/>
    <mergeCell ref="G21:I21"/>
    <mergeCell ref="G25:I25"/>
    <mergeCell ref="G3:I3"/>
    <mergeCell ref="G5:I5"/>
    <mergeCell ref="G9:I9"/>
    <mergeCell ref="G13:I13"/>
    <mergeCell ref="G17:I17"/>
    <mergeCell ref="C25:E25"/>
    <mergeCell ref="C3:E3"/>
    <mergeCell ref="C5:E5"/>
    <mergeCell ref="C9:E9"/>
    <mergeCell ref="C13:E13"/>
    <mergeCell ref="C17:E17"/>
    <mergeCell ref="C21:E21"/>
    <mergeCell ref="E22:E23"/>
  </mergeCells>
  <conditionalFormatting sqref="A1:A3 A31:A33 A39 A37 A8:A20 A22:A28 A5">
    <cfRule type="duplicateValues" dxfId="4" priority="56"/>
  </conditionalFormatting>
  <conditionalFormatting sqref="A40:A44 A46">
    <cfRule type="duplicateValues" dxfId="3" priority="46"/>
  </conditionalFormatting>
  <dataValidations count="2">
    <dataValidation type="list" allowBlank="1" showInputMessage="1" showErrorMessage="1" sqref="D14:D15 D7 D10:D11 H10:H11 H26 D18:D19 H18:H19 H6:H7 H22:H23 H14:H15 D22:D23" xr:uid="{6735D3B7-CEC1-4112-A5BE-13B0EB801469}">
      <formula1>$A$1:$A$50</formula1>
    </dataValidation>
    <dataValidation type="list" allowBlank="1" showInputMessage="1" showErrorMessage="1" sqref="D26 D30 D6" xr:uid="{C6B2B9BD-406D-4E55-ABDA-E1A8114B7633}">
      <formula1>$A$1:$A$51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82D1-1691-4673-A53A-9ED109DE0D21}">
  <sheetPr>
    <tabColor theme="0" tint="-0.249977111117893"/>
  </sheetPr>
  <dimension ref="A1:I41"/>
  <sheetViews>
    <sheetView showGridLines="0" tabSelected="1" workbookViewId="0">
      <selection activeCell="H24" sqref="H24"/>
    </sheetView>
  </sheetViews>
  <sheetFormatPr baseColWidth="10" defaultColWidth="9.1640625" defaultRowHeight="14" x14ac:dyDescent="0.2"/>
  <cols>
    <col min="1" max="1" width="9.1640625" style="9"/>
    <col min="2" max="2" width="9.1640625" style="10"/>
    <col min="3" max="3" width="17.6640625" style="10" customWidth="1"/>
    <col min="4" max="4" width="33.83203125" style="11" customWidth="1"/>
    <col min="5" max="5" width="44.1640625" style="10" customWidth="1"/>
    <col min="6" max="6" width="9.1640625" style="10"/>
    <col min="7" max="7" width="17.6640625" style="10" customWidth="1"/>
    <col min="8" max="8" width="37.5" style="11" customWidth="1"/>
    <col min="9" max="9" width="35.1640625" style="10" customWidth="1"/>
    <col min="10" max="16384" width="9.1640625" style="10"/>
  </cols>
  <sheetData>
    <row r="1" spans="1:9" x14ac:dyDescent="0.2">
      <c r="A1" s="9" t="s">
        <v>85</v>
      </c>
    </row>
    <row r="2" spans="1:9" x14ac:dyDescent="0.2">
      <c r="A2" s="9" t="s">
        <v>46</v>
      </c>
    </row>
    <row r="3" spans="1:9" ht="32" x14ac:dyDescent="0.4">
      <c r="A3" s="9" t="s">
        <v>86</v>
      </c>
      <c r="C3" s="161" t="s">
        <v>87</v>
      </c>
      <c r="D3" s="161"/>
      <c r="E3" s="161"/>
      <c r="F3" s="32"/>
      <c r="G3" s="160" t="s">
        <v>88</v>
      </c>
      <c r="H3" s="160"/>
      <c r="I3" s="160"/>
    </row>
    <row r="4" spans="1:9" x14ac:dyDescent="0.2">
      <c r="A4" s="9" t="s">
        <v>49</v>
      </c>
    </row>
    <row r="5" spans="1:9" s="11" customFormat="1" ht="15" x14ac:dyDescent="0.2">
      <c r="A5" s="9"/>
      <c r="B5" s="9"/>
      <c r="C5" s="154">
        <v>46307</v>
      </c>
      <c r="D5" s="154"/>
      <c r="E5" s="154"/>
      <c r="G5" s="140">
        <f>+C5</f>
        <v>46307</v>
      </c>
      <c r="H5" s="140"/>
      <c r="I5" s="140"/>
    </row>
    <row r="6" spans="1:9" s="11" customFormat="1" ht="15" x14ac:dyDescent="0.2">
      <c r="A6" s="9"/>
      <c r="B6" s="9"/>
      <c r="C6" s="53" t="s">
        <v>65</v>
      </c>
      <c r="D6" s="29" t="s">
        <v>49</v>
      </c>
      <c r="E6" s="53" t="s">
        <v>89</v>
      </c>
      <c r="G6" s="16" t="s">
        <v>30</v>
      </c>
      <c r="H6" s="16"/>
      <c r="I6" s="17" t="s">
        <v>90</v>
      </c>
    </row>
    <row r="7" spans="1:9" s="11" customFormat="1" ht="15" x14ac:dyDescent="0.2">
      <c r="A7" s="9"/>
      <c r="B7" s="9"/>
      <c r="C7" s="16"/>
      <c r="D7" s="16"/>
      <c r="E7" s="16"/>
      <c r="G7" s="53" t="s">
        <v>65</v>
      </c>
      <c r="H7" s="29" t="s">
        <v>86</v>
      </c>
      <c r="I7" s="53" t="s">
        <v>91</v>
      </c>
    </row>
    <row r="8" spans="1:9" s="11" customFormat="1" ht="15" x14ac:dyDescent="0.2">
      <c r="A8" s="9"/>
      <c r="B8" s="9"/>
      <c r="C8" s="16"/>
      <c r="D8" s="16"/>
      <c r="E8" s="16"/>
      <c r="G8" s="54"/>
      <c r="H8" s="75"/>
      <c r="I8" s="54"/>
    </row>
    <row r="9" spans="1:9" s="11" customFormat="1" ht="15" x14ac:dyDescent="0.2">
      <c r="A9" s="9"/>
      <c r="B9" s="9"/>
      <c r="C9" s="29"/>
      <c r="D9" s="29"/>
      <c r="E9" s="29"/>
      <c r="G9" s="54"/>
      <c r="H9" s="75"/>
      <c r="I9" s="54"/>
    </row>
    <row r="10" spans="1:9" s="11" customFormat="1" ht="15" x14ac:dyDescent="0.2">
      <c r="A10" s="9"/>
      <c r="B10" s="9"/>
      <c r="C10" s="18"/>
      <c r="D10" s="18"/>
      <c r="E10" s="18"/>
      <c r="G10" s="54"/>
      <c r="H10" s="18"/>
      <c r="I10" s="54"/>
    </row>
    <row r="11" spans="1:9" s="11" customFormat="1" ht="15" x14ac:dyDescent="0.2">
      <c r="A11" s="9"/>
      <c r="B11" s="9"/>
      <c r="C11" s="154">
        <f>+C5+1</f>
        <v>46308</v>
      </c>
      <c r="D11" s="154"/>
      <c r="E11" s="154"/>
      <c r="G11" s="140">
        <f>+G5+1</f>
        <v>46308</v>
      </c>
      <c r="H11" s="140"/>
      <c r="I11" s="140"/>
    </row>
    <row r="12" spans="1:9" s="11" customFormat="1" ht="15" x14ac:dyDescent="0.2">
      <c r="A12" s="9"/>
      <c r="B12" s="9"/>
      <c r="C12" s="29" t="s">
        <v>64</v>
      </c>
      <c r="D12" s="29" t="s">
        <v>49</v>
      </c>
      <c r="E12" s="29" t="s">
        <v>65</v>
      </c>
      <c r="G12" s="24" t="s">
        <v>34</v>
      </c>
      <c r="H12" s="16" t="s">
        <v>85</v>
      </c>
      <c r="I12" s="17" t="s">
        <v>90</v>
      </c>
    </row>
    <row r="13" spans="1:9" s="11" customFormat="1" ht="15" x14ac:dyDescent="0.2">
      <c r="A13" s="9"/>
      <c r="B13" s="9"/>
      <c r="C13" s="16" t="s">
        <v>30</v>
      </c>
      <c r="D13" s="16" t="s">
        <v>86</v>
      </c>
      <c r="E13" s="16"/>
      <c r="G13" s="53" t="s">
        <v>65</v>
      </c>
      <c r="H13" s="29" t="s">
        <v>46</v>
      </c>
      <c r="I13" s="53" t="s">
        <v>91</v>
      </c>
    </row>
    <row r="14" spans="1:9" s="11" customFormat="1" ht="15" x14ac:dyDescent="0.2">
      <c r="A14" s="9"/>
      <c r="B14" s="9"/>
      <c r="C14" s="16" t="s">
        <v>34</v>
      </c>
      <c r="D14" s="16" t="s">
        <v>49</v>
      </c>
      <c r="E14" s="16"/>
      <c r="G14" s="54"/>
      <c r="H14" s="75"/>
      <c r="I14" s="54"/>
    </row>
    <row r="15" spans="1:9" s="11" customFormat="1" ht="15" x14ac:dyDescent="0.2">
      <c r="A15" s="9"/>
      <c r="B15" s="9"/>
      <c r="C15" s="29" t="s">
        <v>69</v>
      </c>
      <c r="D15" s="29" t="s">
        <v>86</v>
      </c>
      <c r="E15" s="29" t="s">
        <v>65</v>
      </c>
      <c r="G15" s="54"/>
      <c r="H15" s="75"/>
      <c r="I15" s="54"/>
    </row>
    <row r="16" spans="1:9" s="11" customFormat="1" ht="15" x14ac:dyDescent="0.2">
      <c r="A16" s="9"/>
      <c r="B16" s="9"/>
      <c r="C16" s="9"/>
      <c r="D16" s="18"/>
      <c r="E16" s="18"/>
      <c r="G16" s="9"/>
      <c r="H16" s="18"/>
      <c r="I16" s="18"/>
    </row>
    <row r="17" spans="1:9" s="11" customFormat="1" ht="20.25" customHeight="1" x14ac:dyDescent="0.2">
      <c r="A17" s="9"/>
      <c r="B17" s="9"/>
      <c r="C17" s="154">
        <f>+C11+1</f>
        <v>46309</v>
      </c>
      <c r="D17" s="154"/>
      <c r="E17" s="154"/>
      <c r="G17" s="140">
        <f>+G11+1</f>
        <v>46309</v>
      </c>
      <c r="H17" s="140"/>
      <c r="I17" s="140"/>
    </row>
    <row r="18" spans="1:9" s="11" customFormat="1" ht="15" x14ac:dyDescent="0.2">
      <c r="A18" s="9"/>
      <c r="B18" s="9"/>
      <c r="C18" s="29" t="s">
        <v>64</v>
      </c>
      <c r="D18" s="29" t="s">
        <v>86</v>
      </c>
      <c r="E18" s="29" t="s">
        <v>65</v>
      </c>
      <c r="G18" s="16" t="s">
        <v>30</v>
      </c>
      <c r="H18" s="16" t="s">
        <v>86</v>
      </c>
      <c r="I18" s="17" t="s">
        <v>90</v>
      </c>
    </row>
    <row r="19" spans="1:9" s="11" customFormat="1" ht="15" x14ac:dyDescent="0.2">
      <c r="A19" s="9"/>
      <c r="B19" s="9"/>
      <c r="C19" s="16" t="s">
        <v>30</v>
      </c>
      <c r="D19" s="16" t="s">
        <v>49</v>
      </c>
      <c r="E19" s="16"/>
      <c r="G19" s="53" t="s">
        <v>65</v>
      </c>
      <c r="H19" s="29" t="s">
        <v>46</v>
      </c>
      <c r="I19" s="53" t="s">
        <v>91</v>
      </c>
    </row>
    <row r="20" spans="1:9" s="11" customFormat="1" ht="15" x14ac:dyDescent="0.2">
      <c r="A20" s="9"/>
      <c r="B20" s="9"/>
      <c r="C20" s="16" t="s">
        <v>34</v>
      </c>
      <c r="D20" s="16" t="s">
        <v>49</v>
      </c>
      <c r="E20" s="16"/>
      <c r="G20" s="54"/>
      <c r="H20" s="75"/>
      <c r="I20" s="54"/>
    </row>
    <row r="21" spans="1:9" s="11" customFormat="1" ht="15" x14ac:dyDescent="0.2">
      <c r="A21" s="9"/>
      <c r="B21" s="9"/>
      <c r="C21" s="29" t="s">
        <v>69</v>
      </c>
      <c r="D21" s="29" t="s">
        <v>86</v>
      </c>
      <c r="E21" s="29" t="s">
        <v>65</v>
      </c>
      <c r="G21" s="54"/>
      <c r="H21" s="75"/>
      <c r="I21" s="54"/>
    </row>
    <row r="22" spans="1:9" s="11" customFormat="1" ht="15" x14ac:dyDescent="0.2">
      <c r="A22" s="9"/>
      <c r="B22" s="9"/>
      <c r="C22" s="18"/>
      <c r="D22" s="18"/>
      <c r="E22" s="18"/>
      <c r="G22" s="18"/>
      <c r="H22" s="18"/>
      <c r="I22" s="18"/>
    </row>
    <row r="23" spans="1:9" s="11" customFormat="1" ht="15" x14ac:dyDescent="0.2">
      <c r="A23" s="9"/>
      <c r="B23" s="9"/>
      <c r="C23" s="154">
        <f>+C17+1</f>
        <v>46310</v>
      </c>
      <c r="D23" s="154"/>
      <c r="E23" s="154"/>
      <c r="G23" s="140">
        <f>+G17+1</f>
        <v>46310</v>
      </c>
      <c r="H23" s="140"/>
      <c r="I23" s="140"/>
    </row>
    <row r="24" spans="1:9" s="11" customFormat="1" ht="15" x14ac:dyDescent="0.2">
      <c r="A24" s="9"/>
      <c r="B24" s="9"/>
      <c r="C24" s="29" t="s">
        <v>64</v>
      </c>
      <c r="D24" s="29" t="s">
        <v>86</v>
      </c>
      <c r="E24" s="29" t="s">
        <v>65</v>
      </c>
      <c r="G24" s="24" t="s">
        <v>34</v>
      </c>
      <c r="H24" s="16" t="s">
        <v>86</v>
      </c>
      <c r="I24" s="17" t="s">
        <v>90</v>
      </c>
    </row>
    <row r="25" spans="1:9" s="11" customFormat="1" ht="15" x14ac:dyDescent="0.2">
      <c r="A25" s="9"/>
      <c r="B25" s="9"/>
      <c r="C25" s="16" t="s">
        <v>30</v>
      </c>
      <c r="D25" s="16" t="s">
        <v>86</v>
      </c>
      <c r="E25" s="16"/>
      <c r="G25" s="53" t="s">
        <v>65</v>
      </c>
      <c r="H25" s="29" t="s">
        <v>46</v>
      </c>
      <c r="I25" s="53" t="s">
        <v>91</v>
      </c>
    </row>
    <row r="26" spans="1:9" s="11" customFormat="1" ht="15" x14ac:dyDescent="0.2">
      <c r="A26" s="9"/>
      <c r="B26" s="9"/>
      <c r="C26" s="16" t="s">
        <v>34</v>
      </c>
      <c r="D26" s="16" t="s">
        <v>49</v>
      </c>
      <c r="E26" s="16"/>
      <c r="G26" s="54"/>
      <c r="H26" s="54"/>
      <c r="I26" s="54"/>
    </row>
    <row r="27" spans="1:9" s="11" customFormat="1" ht="15" x14ac:dyDescent="0.2">
      <c r="A27" s="9"/>
      <c r="B27" s="9"/>
      <c r="C27" s="29" t="s">
        <v>69</v>
      </c>
      <c r="D27" s="29" t="s">
        <v>86</v>
      </c>
      <c r="E27" s="29" t="s">
        <v>65</v>
      </c>
      <c r="G27" s="54"/>
      <c r="H27" s="75"/>
      <c r="I27" s="54"/>
    </row>
    <row r="28" spans="1:9" s="11" customFormat="1" ht="15" x14ac:dyDescent="0.2">
      <c r="A28" s="9"/>
      <c r="B28" s="9"/>
      <c r="C28" s="18"/>
      <c r="D28" s="18"/>
      <c r="E28" s="18"/>
      <c r="G28" s="18"/>
      <c r="H28" s="18"/>
      <c r="I28" s="18"/>
    </row>
    <row r="29" spans="1:9" s="11" customFormat="1" ht="15" x14ac:dyDescent="0.2">
      <c r="A29" s="9"/>
      <c r="B29" s="9"/>
      <c r="C29" s="154">
        <f>+C23+1</f>
        <v>46311</v>
      </c>
      <c r="D29" s="155"/>
      <c r="E29" s="156"/>
      <c r="G29" s="140">
        <f>+G23+1</f>
        <v>46311</v>
      </c>
      <c r="H29" s="141"/>
      <c r="I29" s="142"/>
    </row>
    <row r="30" spans="1:9" s="11" customFormat="1" ht="15" x14ac:dyDescent="0.2">
      <c r="A30" s="9"/>
      <c r="B30" s="9"/>
      <c r="C30" s="29" t="s">
        <v>64</v>
      </c>
      <c r="D30" s="29" t="s">
        <v>86</v>
      </c>
      <c r="E30" s="29" t="s">
        <v>65</v>
      </c>
      <c r="G30" s="16" t="s">
        <v>30</v>
      </c>
      <c r="H30" s="16" t="s">
        <v>86</v>
      </c>
      <c r="I30" s="17" t="s">
        <v>90</v>
      </c>
    </row>
    <row r="31" spans="1:9" s="11" customFormat="1" ht="13.5" customHeight="1" x14ac:dyDescent="0.2">
      <c r="A31" s="9"/>
      <c r="B31" s="9"/>
      <c r="C31" s="16" t="s">
        <v>30</v>
      </c>
      <c r="D31" s="16" t="s">
        <v>49</v>
      </c>
      <c r="E31" s="16"/>
      <c r="G31" s="53" t="s">
        <v>65</v>
      </c>
      <c r="H31" s="29" t="s">
        <v>46</v>
      </c>
      <c r="I31" s="53" t="s">
        <v>91</v>
      </c>
    </row>
    <row r="32" spans="1:9" s="11" customFormat="1" ht="13.5" customHeight="1" x14ac:dyDescent="0.2">
      <c r="A32" s="9"/>
      <c r="B32" s="9"/>
      <c r="C32" s="16" t="s">
        <v>34</v>
      </c>
      <c r="D32" s="16" t="s">
        <v>86</v>
      </c>
      <c r="E32" s="16"/>
      <c r="G32" s="54"/>
      <c r="H32" s="75"/>
      <c r="I32" s="54"/>
    </row>
    <row r="33" spans="1:9" s="11" customFormat="1" ht="13.5" customHeight="1" x14ac:dyDescent="0.2">
      <c r="A33" s="9"/>
      <c r="B33" s="9"/>
      <c r="C33" s="29" t="s">
        <v>69</v>
      </c>
      <c r="D33" s="29" t="s">
        <v>86</v>
      </c>
      <c r="E33" s="29" t="s">
        <v>65</v>
      </c>
      <c r="G33" s="54"/>
      <c r="H33" s="75"/>
      <c r="I33" s="54"/>
    </row>
    <row r="34" spans="1:9" s="11" customFormat="1" ht="13.5" customHeight="1" x14ac:dyDescent="0.2">
      <c r="A34" s="9"/>
      <c r="B34" s="9"/>
      <c r="C34" s="18"/>
      <c r="D34" s="18"/>
      <c r="E34" s="18"/>
      <c r="G34" s="18"/>
      <c r="H34" s="18"/>
      <c r="I34" s="18"/>
    </row>
    <row r="35" spans="1:9" s="11" customFormat="1" ht="13.5" customHeight="1" x14ac:dyDescent="0.2">
      <c r="A35" s="9"/>
      <c r="B35" s="9"/>
      <c r="C35" s="162">
        <f>+C29+1</f>
        <v>46312</v>
      </c>
      <c r="D35" s="163"/>
      <c r="E35" s="164"/>
      <c r="G35" s="157">
        <f>+G29+1</f>
        <v>46312</v>
      </c>
      <c r="H35" s="158"/>
      <c r="I35" s="159"/>
    </row>
    <row r="36" spans="1:9" s="11" customFormat="1" ht="15" x14ac:dyDescent="0.2">
      <c r="A36" s="9"/>
      <c r="B36" s="9"/>
      <c r="C36" s="53" t="s">
        <v>65</v>
      </c>
      <c r="D36" s="29" t="s">
        <v>86</v>
      </c>
      <c r="E36" s="53" t="s">
        <v>89</v>
      </c>
      <c r="G36" s="53" t="s">
        <v>65</v>
      </c>
      <c r="H36" s="29" t="s">
        <v>46</v>
      </c>
      <c r="I36" s="53" t="s">
        <v>91</v>
      </c>
    </row>
    <row r="37" spans="1:9" s="11" customFormat="1" ht="15" x14ac:dyDescent="0.2">
      <c r="A37" s="9"/>
      <c r="B37" s="9"/>
      <c r="H37" s="18"/>
      <c r="I37" s="18"/>
    </row>
    <row r="38" spans="1:9" ht="15" x14ac:dyDescent="0.2">
      <c r="B38" s="9"/>
      <c r="C38" s="154">
        <f>+C35+1</f>
        <v>46313</v>
      </c>
      <c r="D38" s="155"/>
      <c r="E38" s="156"/>
      <c r="F38" s="15"/>
      <c r="G38" s="140">
        <f>+G35+1</f>
        <v>46313</v>
      </c>
      <c r="H38" s="141"/>
      <c r="I38" s="142"/>
    </row>
    <row r="39" spans="1:9" ht="15" x14ac:dyDescent="0.2">
      <c r="B39" s="9"/>
      <c r="C39" s="53" t="s">
        <v>65</v>
      </c>
      <c r="D39" s="29" t="s">
        <v>86</v>
      </c>
      <c r="E39" s="53" t="s">
        <v>89</v>
      </c>
      <c r="F39" s="11"/>
      <c r="G39" s="53" t="s">
        <v>65</v>
      </c>
      <c r="H39" s="29" t="s">
        <v>46</v>
      </c>
      <c r="I39" s="53" t="s">
        <v>91</v>
      </c>
    </row>
    <row r="40" spans="1:9" s="11" customFormat="1" ht="15" customHeight="1" x14ac:dyDescent="0.2">
      <c r="A40" s="14"/>
      <c r="B40" s="9"/>
    </row>
    <row r="41" spans="1:9" s="11" customFormat="1" x14ac:dyDescent="0.2">
      <c r="A41" s="9"/>
      <c r="B41" s="9"/>
    </row>
  </sheetData>
  <mergeCells count="16">
    <mergeCell ref="C38:E38"/>
    <mergeCell ref="G38:I38"/>
    <mergeCell ref="G29:I29"/>
    <mergeCell ref="G35:I35"/>
    <mergeCell ref="G3:I3"/>
    <mergeCell ref="G5:I5"/>
    <mergeCell ref="G11:I11"/>
    <mergeCell ref="G17:I17"/>
    <mergeCell ref="G23:I23"/>
    <mergeCell ref="C3:E3"/>
    <mergeCell ref="C17:E17"/>
    <mergeCell ref="C23:E23"/>
    <mergeCell ref="C35:E35"/>
    <mergeCell ref="C29:E29"/>
    <mergeCell ref="C5:E5"/>
    <mergeCell ref="C11:E11"/>
  </mergeCells>
  <conditionalFormatting sqref="A4:A16">
    <cfRule type="duplicateValues" dxfId="2" priority="54"/>
  </conditionalFormatting>
  <conditionalFormatting sqref="A17:A22 A4">
    <cfRule type="duplicateValues" dxfId="1" priority="2"/>
  </conditionalFormatting>
  <conditionalFormatting sqref="A39 A23 A25:A37 A1:A3">
    <cfRule type="duplicateValues" dxfId="0" priority="55"/>
  </conditionalFormatting>
  <dataValidations count="1">
    <dataValidation type="list" allowBlank="1" showInputMessage="1" showErrorMessage="1" sqref="H30:H33 D24:D27 D6:D9 H12:H15 D30:D33 D36 H36 D39 H24:H25 D12:D15 D18:D21 H18:H21 H27 H6:H10 H39" xr:uid="{49C5B217-8C1D-4EE8-B98E-D400ED59466F}">
      <formula1>$A$1:$A$41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4464-9BD0-459F-9933-5A768A2E4B95}">
  <dimension ref="B4:G25"/>
  <sheetViews>
    <sheetView topLeftCell="A10" workbookViewId="0">
      <selection activeCell="F8" sqref="F8"/>
    </sheetView>
  </sheetViews>
  <sheetFormatPr baseColWidth="10" defaultColWidth="9.1640625" defaultRowHeight="13" x14ac:dyDescent="0.15"/>
  <cols>
    <col min="2" max="4" width="41.5" customWidth="1"/>
    <col min="5" max="5" width="26.5" customWidth="1"/>
    <col min="6" max="6" width="18" customWidth="1"/>
    <col min="7" max="7" width="16.1640625" customWidth="1"/>
  </cols>
  <sheetData>
    <row r="4" spans="2:7" ht="16" x14ac:dyDescent="0.15">
      <c r="B4" s="165" t="s">
        <v>92</v>
      </c>
      <c r="C4" s="165"/>
      <c r="D4" s="165"/>
      <c r="E4" s="165"/>
      <c r="F4" s="26" t="s">
        <v>93</v>
      </c>
      <c r="G4" s="26" t="s">
        <v>94</v>
      </c>
    </row>
    <row r="5" spans="2:7" x14ac:dyDescent="0.15">
      <c r="B5" s="5"/>
      <c r="C5" s="6"/>
      <c r="D5" s="7" t="s">
        <v>95</v>
      </c>
      <c r="E5" s="7" t="s">
        <v>96</v>
      </c>
    </row>
    <row r="6" spans="2:7" ht="16" x14ac:dyDescent="0.15">
      <c r="B6" s="2"/>
      <c r="C6" s="1" t="s">
        <v>97</v>
      </c>
      <c r="D6" s="8" t="s">
        <v>98</v>
      </c>
      <c r="E6" s="8" t="s">
        <v>99</v>
      </c>
    </row>
    <row r="7" spans="2:7" ht="16" x14ac:dyDescent="0.15">
      <c r="B7" s="2"/>
      <c r="C7" s="1" t="s">
        <v>100</v>
      </c>
      <c r="D7" s="8" t="s">
        <v>101</v>
      </c>
      <c r="E7" s="8" t="s">
        <v>102</v>
      </c>
    </row>
    <row r="8" spans="2:7" ht="16" x14ac:dyDescent="0.15">
      <c r="B8" s="3"/>
      <c r="C8" s="1" t="s">
        <v>103</v>
      </c>
      <c r="D8" s="8" t="s">
        <v>104</v>
      </c>
      <c r="E8" s="8" t="s">
        <v>105</v>
      </c>
      <c r="F8" t="s">
        <v>106</v>
      </c>
    </row>
    <row r="9" spans="2:7" ht="16" x14ac:dyDescent="0.15">
      <c r="B9" s="3"/>
      <c r="C9" s="1" t="s">
        <v>107</v>
      </c>
      <c r="D9" s="8" t="s">
        <v>108</v>
      </c>
      <c r="E9" s="8"/>
    </row>
    <row r="12" spans="2:7" ht="18" x14ac:dyDescent="0.15">
      <c r="B12" s="166" t="s">
        <v>109</v>
      </c>
      <c r="C12" s="166"/>
      <c r="D12" s="166"/>
      <c r="E12" s="166"/>
    </row>
    <row r="13" spans="2:7" x14ac:dyDescent="0.15">
      <c r="B13" s="5"/>
      <c r="C13" s="6"/>
      <c r="D13" s="7" t="s">
        <v>95</v>
      </c>
      <c r="E13" s="7" t="s">
        <v>96</v>
      </c>
    </row>
    <row r="14" spans="2:7" ht="16" x14ac:dyDescent="0.15">
      <c r="B14" s="2" t="s">
        <v>110</v>
      </c>
      <c r="C14" s="4" t="s">
        <v>111</v>
      </c>
      <c r="D14" s="8" t="s">
        <v>99</v>
      </c>
      <c r="E14" s="8" t="s">
        <v>112</v>
      </c>
      <c r="F14" t="s">
        <v>113</v>
      </c>
    </row>
    <row r="15" spans="2:7" ht="16" x14ac:dyDescent="0.15">
      <c r="B15" s="2"/>
      <c r="C15" s="1" t="s">
        <v>114</v>
      </c>
      <c r="D15" s="8" t="s">
        <v>115</v>
      </c>
      <c r="E15" s="8" t="s">
        <v>116</v>
      </c>
    </row>
    <row r="17" spans="2:6" ht="16" x14ac:dyDescent="0.15">
      <c r="B17" s="165" t="s">
        <v>117</v>
      </c>
      <c r="C17" s="165"/>
      <c r="D17" s="165"/>
      <c r="E17" s="165"/>
    </row>
    <row r="18" spans="2:6" x14ac:dyDescent="0.15">
      <c r="B18" s="5"/>
      <c r="C18" s="6"/>
      <c r="D18" s="7" t="s">
        <v>95</v>
      </c>
      <c r="E18" s="7" t="s">
        <v>96</v>
      </c>
    </row>
    <row r="19" spans="2:6" ht="16" x14ac:dyDescent="0.15">
      <c r="B19" s="2"/>
      <c r="C19" s="4" t="s">
        <v>118</v>
      </c>
      <c r="D19" s="8" t="s">
        <v>119</v>
      </c>
      <c r="E19" s="8" t="s">
        <v>120</v>
      </c>
      <c r="F19" t="s">
        <v>121</v>
      </c>
    </row>
    <row r="20" spans="2:6" ht="16" x14ac:dyDescent="0.15">
      <c r="B20" s="2"/>
      <c r="C20" s="1" t="s">
        <v>122</v>
      </c>
      <c r="D20" s="8" t="s">
        <v>123</v>
      </c>
      <c r="E20" s="8" t="s">
        <v>124</v>
      </c>
    </row>
    <row r="22" spans="2:6" ht="16" x14ac:dyDescent="0.15">
      <c r="B22" s="165" t="s">
        <v>125</v>
      </c>
      <c r="C22" s="165"/>
      <c r="D22" s="165"/>
      <c r="E22" s="165"/>
    </row>
    <row r="23" spans="2:6" x14ac:dyDescent="0.15">
      <c r="B23" s="5"/>
      <c r="C23" s="6"/>
      <c r="D23" s="7" t="s">
        <v>95</v>
      </c>
      <c r="E23" s="7" t="s">
        <v>96</v>
      </c>
    </row>
    <row r="24" spans="2:6" ht="16" x14ac:dyDescent="0.15">
      <c r="B24" s="2" t="s">
        <v>126</v>
      </c>
      <c r="C24" s="1" t="s">
        <v>127</v>
      </c>
      <c r="D24" s="8" t="s">
        <v>128</v>
      </c>
      <c r="E24" s="8" t="s">
        <v>129</v>
      </c>
    </row>
    <row r="25" spans="2:6" ht="16" x14ac:dyDescent="0.15">
      <c r="B25" s="2" t="s">
        <v>130</v>
      </c>
      <c r="C25" s="1" t="s">
        <v>131</v>
      </c>
      <c r="D25" s="8" t="s">
        <v>132</v>
      </c>
      <c r="E25" s="8" t="s">
        <v>133</v>
      </c>
    </row>
  </sheetData>
  <mergeCells count="4">
    <mergeCell ref="B4:E4"/>
    <mergeCell ref="B12:E12"/>
    <mergeCell ref="B17:E17"/>
    <mergeCell ref="B22:E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6D3C1E56DD680429E684FA6D77C576E" ma:contentTypeVersion="3" ma:contentTypeDescription="Crear nuevo documento." ma:contentTypeScope="" ma:versionID="343f10405455243b22db4f81021dc2e4">
  <xsd:schema xmlns:xsd="http://www.w3.org/2001/XMLSchema" xmlns:xs="http://www.w3.org/2001/XMLSchema" xmlns:p="http://schemas.microsoft.com/office/2006/metadata/properties" xmlns:ns2="b6d8cc88-9158-49b6-9ea3-4d8d5767fd02" targetNamespace="http://schemas.microsoft.com/office/2006/metadata/properties" ma:root="true" ma:fieldsID="b7fb12365417435e221144817316ff89" ns2:_="">
    <xsd:import namespace="b6d8cc88-9158-49b6-9ea3-4d8d5767fd0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d8cc88-9158-49b6-9ea3-4d8d5767fd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21C03F-4F3E-485A-BB9A-22EC63868BEF}">
  <ds:schemaRefs>
    <ds:schemaRef ds:uri="http://schemas.microsoft.com/sharepoint/v3/contenttype/forms"/>
  </ds:schemaRefs>
</ds:datastoreItem>
</file>

<file path=customXml/itemProps2.xml><?xml version="1.0" encoding="utf-8"?>
<ds:datastoreItem xmlns:ds="http://schemas.openxmlformats.org/officeDocument/2006/customXml" ds:itemID="{4C7E7868-BB9F-4277-B1FF-F6BE51FBB5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d8cc88-9158-49b6-9ea3-4d8d5767f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0F6FE9-D561-4DCE-97C8-0BC4A3E57E36}">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62246707-acf5-41ce-b7b1-f5c34e68a12b}" enabled="1" method="Standard" siteId="{d879fa46-3954-4e5c-a3cf-ab74f00c58d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VACACIONES</vt:lpstr>
      <vt:lpstr>Ecografía - ECO</vt:lpstr>
      <vt:lpstr>Lectura - Neuro</vt:lpstr>
      <vt:lpstr>Lectura - MSK</vt:lpstr>
      <vt:lpstr>Lectura - Abdomen</vt:lpstr>
      <vt:lpstr>Lectura - Mamografia-Densitomet</vt:lpstr>
      <vt:lpstr>Lectura - CARDIO-TORAX AMBULATO</vt:lpstr>
      <vt:lpstr>Asignación de estudios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Jazbleidy Carabali Carabali</dc:creator>
  <cp:keywords/>
  <dc:description/>
  <cp:lastModifiedBy>Andres Felipe Torres Velasco</cp:lastModifiedBy>
  <cp:revision/>
  <dcterms:created xsi:type="dcterms:W3CDTF">2023-03-15T14:20:24Z</dcterms:created>
  <dcterms:modified xsi:type="dcterms:W3CDTF">2026-10-19T20:24:03Z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0x010100E6D3C1E56DD680429E684FA6D77C576E</vt:lpwstr>
  </property>
  <property fmtid="{D5CDD505-2E9C-101B-9397-08002B2CF9AE}" pid="3" name="Order">
    <vt:r8>111600</vt:r8>
  </property>
  <property fmtid="{D5CDD505-2E9C-101B-9397-08002B2CF9AE}" pid="4" name="SharedWithUsers">
    <vt:lpwstr>156;#Gregorio Hurtado Vela;#157;#Ana Maria Andrade Manace</vt:lpwstr>
  </property>
  <property fmtid="{D5CDD505-2E9C-101B-9397-08002B2CF9AE}" pid="5" name="ComplianceAssetId">
    <vt:lpwstr/>
  </property>
  <property fmtid="{D5CDD505-2E9C-101B-9397-08002B2CF9AE}" pid="6" name="_activity">
    <vt:lpwstr>{"FileActivityType":"6","FileActivityTimeStamp":"2025-09-19T20:51:12.320Z","FileActivityUsersOnPage":[{"DisplayName":"Cindy Vanessa Rivas Santiesteban","Id":"cindy.rivas@quironsalud.com"}],"FileActivityNavigationId":null}</vt:lpwstr>
  </property>
  <property fmtid="{D5CDD505-2E9C-101B-9397-08002B2CF9AE}" pid="7" name="_ExtendedDescription">
    <vt:lpwstr/>
  </property>
  <property fmtid="{D5CDD505-2E9C-101B-9397-08002B2CF9AE}" pid="8" name="TriggerFlowInfo">
    <vt:lpwstr/>
  </property>
  <property fmtid="{D5CDD505-2E9C-101B-9397-08002B2CF9AE}" pid="9" name="MSIP_Label_62246707-acf5-41ce-b7b1-f5c34e68a12b_Enabled">
    <vt:lpwstr>true</vt:lpwstr>
  </property>
  <property fmtid="{D5CDD505-2E9C-101B-9397-08002B2CF9AE}" pid="10" name="MSIP_Label_62246707-acf5-41ce-b7b1-f5c34e68a12b_SetDate">
    <vt:lpwstr>2026-05-22T22:16:40Z</vt:lpwstr>
  </property>
  <property fmtid="{D5CDD505-2E9C-101B-9397-08002B2CF9AE}" pid="11" name="MSIP_Label_62246707-acf5-41ce-b7b1-f5c34e68a12b_Method">
    <vt:lpwstr>Standard</vt:lpwstr>
  </property>
  <property fmtid="{D5CDD505-2E9C-101B-9397-08002B2CF9AE}" pid="12" name="MSIP_Label_62246707-acf5-41ce-b7b1-f5c34e68a12b_Name">
    <vt:lpwstr>Uso interno - Document</vt:lpwstr>
  </property>
  <property fmtid="{D5CDD505-2E9C-101B-9397-08002B2CF9AE}" pid="13" name="MSIP_Label_62246707-acf5-41ce-b7b1-f5c34e68a12b_SiteId">
    <vt:lpwstr>d879fa46-3954-4e5c-a3cf-ab74f00c58da</vt:lpwstr>
  </property>
  <property fmtid="{D5CDD505-2E9C-101B-9397-08002B2CF9AE}" pid="14" name="MSIP_Label_62246707-acf5-41ce-b7b1-f5c34e68a12b_ActionId">
    <vt:lpwstr>01c1d35d-55b8-44ca-a192-c90050c629c5</vt:lpwstr>
  </property>
  <property fmtid="{D5CDD505-2E9C-101B-9397-08002B2CF9AE}" pid="15" name="MSIP_Label_62246707-acf5-41ce-b7b1-f5c34e68a12b_ContentBits">
    <vt:lpwstr>0</vt:lpwstr>
  </property>
  <property fmtid="{D5CDD505-2E9C-101B-9397-08002B2CF9AE}" pid="16" name="MSIP_Label_62246707-acf5-41ce-b7b1-f5c34e68a12b_Tag">
    <vt:lpwstr>10, 3, 0, 2</vt:lpwstr>
  </property>
</Properties>
</file>